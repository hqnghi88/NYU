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go\Downloads\"/>
    </mc:Choice>
  </mc:AlternateContent>
  <xr:revisionPtr revIDLastSave="0" documentId="8_{5FFC5BF4-68C3-4672-8E3D-6FF0299835DA}" xr6:coauthVersionLast="47" xr6:coauthVersionMax="47" xr10:uidLastSave="{00000000-0000-0000-0000-000000000000}"/>
  <bookViews>
    <workbookView xWindow="-7400" yWindow="-21710" windowWidth="38620" windowHeight="21100" xr2:uid="{6D869F61-FCF2-4D38-9CED-8238FDF59F75}"/>
  </bookViews>
  <sheets>
    <sheet name="bus(after)" sheetId="2" r:id="rId1"/>
    <sheet name="Sheet1" sheetId="1" r:id="rId2"/>
  </sheets>
  <definedNames>
    <definedName name="_xlnm._FilterDatabase" localSheetId="0" hidden="1">'bus(after)'!$A$1:$AO$130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2" l="1"/>
  <c r="K2" i="2" a="1"/>
  <c r="K2" i="2" s="1"/>
  <c r="M2" i="2" a="1"/>
  <c r="M2" i="2"/>
  <c r="Q2" i="2"/>
  <c r="R2" i="2"/>
  <c r="J3" i="2"/>
  <c r="K3" i="2" s="1" a="1"/>
  <c r="K3" i="2" s="1"/>
  <c r="S3" i="2" s="1"/>
  <c r="M3" i="2" a="1"/>
  <c r="M3" i="2" s="1"/>
  <c r="Q3" i="2"/>
  <c r="R3" i="2"/>
  <c r="J4" i="2"/>
  <c r="K4" i="2" a="1"/>
  <c r="K4" i="2"/>
  <c r="S4" i="2" s="1"/>
  <c r="M4" i="2" a="1"/>
  <c r="M4" i="2" s="1"/>
  <c r="Q4" i="2"/>
  <c r="R4" i="2"/>
  <c r="J5" i="2"/>
  <c r="K5" i="2" a="1"/>
  <c r="K5" i="2"/>
  <c r="S5" i="2" s="1"/>
  <c r="M5" i="2" a="1"/>
  <c r="M5" i="2"/>
  <c r="Q5" i="2"/>
  <c r="R5" i="2"/>
  <c r="J6" i="2"/>
  <c r="K6" i="2" a="1"/>
  <c r="K6" i="2" s="1"/>
  <c r="S6" i="2" s="1"/>
  <c r="M6" i="2" a="1"/>
  <c r="M6" i="2"/>
  <c r="Q6" i="2"/>
  <c r="R6" i="2"/>
  <c r="J7" i="2"/>
  <c r="K7" i="2" a="1"/>
  <c r="K7" i="2"/>
  <c r="M7" i="2" a="1"/>
  <c r="M7" i="2"/>
  <c r="Q7" i="2"/>
  <c r="R7" i="2"/>
  <c r="S7" i="2"/>
  <c r="J8" i="2"/>
  <c r="K8" i="2" a="1"/>
  <c r="K8" i="2"/>
  <c r="S8" i="2" s="1"/>
  <c r="M8" i="2" a="1"/>
  <c r="M8" i="2"/>
  <c r="Q8" i="2"/>
  <c r="R8" i="2"/>
  <c r="J9" i="2"/>
  <c r="K9" i="2" a="1"/>
  <c r="K9" i="2" s="1"/>
  <c r="S9" i="2" s="1"/>
  <c r="M9" i="2" a="1"/>
  <c r="M9" i="2"/>
  <c r="Q9" i="2"/>
  <c r="R9" i="2"/>
  <c r="J10" i="2"/>
  <c r="K10" i="2" s="1" a="1"/>
  <c r="K10" i="2" s="1"/>
  <c r="S10" i="2" s="1"/>
  <c r="M10" i="2" a="1"/>
  <c r="M10" i="2" s="1"/>
  <c r="Q10" i="2"/>
  <c r="R10" i="2"/>
  <c r="J11" i="2"/>
  <c r="K11" i="2" a="1"/>
  <c r="K11" i="2"/>
  <c r="S11" i="2" s="1"/>
  <c r="M11" i="2" a="1"/>
  <c r="M11" i="2" s="1"/>
  <c r="Q11" i="2"/>
  <c r="R11" i="2"/>
  <c r="J12" i="2"/>
  <c r="K12" i="2" s="1" a="1"/>
  <c r="K12" i="2" s="1"/>
  <c r="S12" i="2" s="1"/>
  <c r="M12" i="2" a="1"/>
  <c r="M12" i="2"/>
  <c r="Q12" i="2"/>
  <c r="R12" i="2"/>
  <c r="J13" i="2"/>
  <c r="K13" i="2" a="1"/>
  <c r="K13" i="2"/>
  <c r="S13" i="2" s="1"/>
  <c r="M13" i="2" a="1"/>
  <c r="M13" i="2"/>
  <c r="Q13" i="2"/>
  <c r="R13" i="2"/>
  <c r="J14" i="2"/>
  <c r="K14" i="2" a="1"/>
  <c r="K14" i="2" s="1"/>
  <c r="S14" i="2" s="1"/>
  <c r="M14" i="2" a="1"/>
  <c r="M14" i="2" s="1"/>
  <c r="Q14" i="2"/>
  <c r="R14" i="2"/>
  <c r="J15" i="2"/>
  <c r="K15" i="2" s="1" a="1"/>
  <c r="K15" i="2" s="1"/>
  <c r="S15" i="2" s="1"/>
  <c r="M15" i="2" a="1"/>
  <c r="M15" i="2" s="1"/>
  <c r="Q15" i="2"/>
  <c r="R15" i="2"/>
  <c r="J16" i="2"/>
  <c r="K16" i="2" a="1"/>
  <c r="K16" i="2"/>
  <c r="S16" i="2" s="1"/>
  <c r="M16" i="2" a="1"/>
  <c r="M16" i="2"/>
  <c r="Q16" i="2"/>
  <c r="R16" i="2"/>
  <c r="J17" i="2"/>
  <c r="K17" i="2" a="1"/>
  <c r="K17" i="2" s="1"/>
  <c r="S17" i="2" s="1"/>
  <c r="M17" i="2" a="1"/>
  <c r="M17" i="2"/>
  <c r="Q17" i="2"/>
  <c r="R17" i="2"/>
  <c r="J18" i="2"/>
  <c r="K18" i="2" a="1"/>
  <c r="K18" i="2"/>
  <c r="S18" i="2" s="1"/>
  <c r="M18" i="2" a="1"/>
  <c r="M18" i="2"/>
  <c r="Q18" i="2"/>
  <c r="R18" i="2"/>
  <c r="J19" i="2"/>
  <c r="K19" i="2" a="1"/>
  <c r="K19" i="2" s="1"/>
  <c r="S19" i="2" s="1"/>
  <c r="M19" i="2" a="1"/>
  <c r="M19" i="2"/>
  <c r="Q19" i="2"/>
  <c r="R19" i="2"/>
  <c r="J20" i="2"/>
  <c r="K20" i="2" a="1"/>
  <c r="K20" i="2"/>
  <c r="S20" i="2" s="1"/>
  <c r="M20" i="2" a="1"/>
  <c r="M20" i="2"/>
  <c r="Q20" i="2"/>
  <c r="R20" i="2"/>
  <c r="J21" i="2"/>
  <c r="K21" i="2" a="1"/>
  <c r="K21" i="2" s="1"/>
  <c r="S21" i="2" s="1"/>
  <c r="M21" i="2" a="1"/>
  <c r="M21" i="2"/>
  <c r="Q21" i="2"/>
  <c r="R21" i="2"/>
  <c r="J22" i="2"/>
  <c r="K22" i="2" a="1"/>
  <c r="K22" i="2"/>
  <c r="S22" i="2" s="1"/>
  <c r="M22" i="2" a="1"/>
  <c r="M22" i="2"/>
  <c r="Q22" i="2"/>
  <c r="R22" i="2"/>
  <c r="J23" i="2"/>
  <c r="K23" i="2" a="1"/>
  <c r="K23" i="2" s="1"/>
  <c r="S23" i="2" s="1"/>
  <c r="M23" i="2" a="1"/>
  <c r="M23" i="2"/>
  <c r="Q23" i="2"/>
  <c r="R23" i="2"/>
  <c r="J24" i="2"/>
  <c r="K24" i="2" a="1"/>
  <c r="K24" i="2"/>
  <c r="S24" i="2" s="1"/>
  <c r="M24" i="2" a="1"/>
  <c r="M24" i="2" s="1"/>
  <c r="Q24" i="2"/>
  <c r="R24" i="2"/>
  <c r="J25" i="2"/>
  <c r="K25" i="2" a="1"/>
  <c r="K25" i="2" s="1"/>
  <c r="S25" i="2" s="1"/>
  <c r="M25" i="2" a="1"/>
  <c r="M25" i="2"/>
  <c r="Q25" i="2"/>
  <c r="R25" i="2"/>
  <c r="J26" i="2"/>
  <c r="K26" i="2" a="1"/>
  <c r="K26" i="2"/>
  <c r="S26" i="2" s="1"/>
  <c r="M26" i="2" a="1"/>
  <c r="M26" i="2"/>
  <c r="Q26" i="2"/>
  <c r="R26" i="2"/>
  <c r="J27" i="2"/>
  <c r="K27" i="2" a="1"/>
  <c r="K27" i="2" s="1"/>
  <c r="S27" i="2" s="1"/>
  <c r="M27" i="2" a="1"/>
  <c r="M27" i="2"/>
  <c r="Q27" i="2"/>
  <c r="R27" i="2"/>
  <c r="J28" i="2"/>
  <c r="K28" i="2" a="1"/>
  <c r="K28" i="2"/>
  <c r="S28" i="2" s="1"/>
  <c r="M28" i="2" a="1"/>
  <c r="M28" i="2"/>
  <c r="Q28" i="2"/>
  <c r="R28" i="2"/>
  <c r="J29" i="2"/>
  <c r="K29" i="2" a="1"/>
  <c r="K29" i="2" s="1"/>
  <c r="S29" i="2" s="1"/>
  <c r="M29" i="2" a="1"/>
  <c r="M29" i="2"/>
  <c r="Q29" i="2"/>
  <c r="R29" i="2"/>
  <c r="J30" i="2"/>
  <c r="K30" i="2" a="1"/>
  <c r="K30" i="2"/>
  <c r="S30" i="2" s="1"/>
  <c r="M30" i="2" a="1"/>
  <c r="M30" i="2"/>
  <c r="Q30" i="2"/>
  <c r="R30" i="2"/>
  <c r="J31" i="2"/>
  <c r="K31" i="2" a="1"/>
  <c r="K31" i="2" s="1"/>
  <c r="S31" i="2" s="1"/>
  <c r="M31" i="2" a="1"/>
  <c r="M31" i="2"/>
  <c r="Q31" i="2"/>
  <c r="R31" i="2"/>
  <c r="J32" i="2"/>
  <c r="K32" i="2" a="1"/>
  <c r="K32" i="2" s="1"/>
  <c r="S32" i="2" s="1"/>
  <c r="M32" i="2" a="1"/>
  <c r="M32" i="2"/>
  <c r="Q32" i="2"/>
  <c r="R32" i="2"/>
  <c r="J33" i="2"/>
  <c r="K33" i="2" a="1"/>
  <c r="K33" i="2" s="1"/>
  <c r="S33" i="2" s="1"/>
  <c r="M33" i="2" a="1"/>
  <c r="M33" i="2"/>
  <c r="Q33" i="2"/>
  <c r="R33" i="2"/>
  <c r="J34" i="2"/>
  <c r="K34" i="2" a="1"/>
  <c r="K34" i="2"/>
  <c r="S34" i="2" s="1"/>
  <c r="M34" i="2" a="1"/>
  <c r="M34" i="2"/>
  <c r="Q34" i="2"/>
  <c r="R34" i="2"/>
  <c r="J35" i="2"/>
  <c r="K35" i="2" a="1"/>
  <c r="K35" i="2" s="1"/>
  <c r="S35" i="2" s="1"/>
  <c r="M35" i="2" a="1"/>
  <c r="M35" i="2"/>
  <c r="Q35" i="2"/>
  <c r="R35" i="2"/>
  <c r="J36" i="2"/>
  <c r="K36" i="2" a="1"/>
  <c r="K36" i="2"/>
  <c r="S36" i="2" s="1"/>
  <c r="M36" i="2" a="1"/>
  <c r="M36" i="2"/>
  <c r="Q36" i="2"/>
  <c r="R36" i="2"/>
  <c r="J37" i="2"/>
  <c r="K37" i="2" a="1"/>
  <c r="K37" i="2" s="1"/>
  <c r="S37" i="2" s="1"/>
  <c r="M37" i="2" a="1"/>
  <c r="M37" i="2"/>
  <c r="Q37" i="2"/>
  <c r="R37" i="2"/>
  <c r="J38" i="2"/>
  <c r="K38" i="2" a="1"/>
  <c r="K38" i="2"/>
  <c r="S38" i="2" s="1"/>
  <c r="M38" i="2" a="1"/>
  <c r="M38" i="2"/>
  <c r="Q38" i="2"/>
  <c r="R38" i="2"/>
  <c r="J39" i="2"/>
  <c r="K39" i="2" a="1"/>
  <c r="K39" i="2" s="1"/>
  <c r="S39" i="2" s="1"/>
  <c r="M39" i="2" a="1"/>
  <c r="M39" i="2"/>
  <c r="Q39" i="2"/>
  <c r="R39" i="2"/>
  <c r="J40" i="2"/>
  <c r="K40" i="2" a="1"/>
  <c r="K40" i="2"/>
  <c r="S40" i="2" s="1"/>
  <c r="M40" i="2" a="1"/>
  <c r="M40" i="2"/>
  <c r="Q40" i="2"/>
  <c r="R40" i="2"/>
  <c r="J41" i="2"/>
  <c r="K41" i="2" a="1"/>
  <c r="K41" i="2" s="1"/>
  <c r="S41" i="2" s="1"/>
  <c r="M41" i="2" a="1"/>
  <c r="M41" i="2"/>
  <c r="Q41" i="2"/>
  <c r="R41" i="2"/>
  <c r="J42" i="2"/>
  <c r="K42" i="2" a="1"/>
  <c r="K42" i="2"/>
  <c r="S42" i="2" s="1"/>
  <c r="M42" i="2" a="1"/>
  <c r="M42" i="2"/>
  <c r="Q42" i="2"/>
  <c r="R42" i="2"/>
  <c r="J43" i="2"/>
  <c r="K43" i="2" a="1"/>
  <c r="K43" i="2" s="1"/>
  <c r="S43" i="2" s="1"/>
  <c r="M43" i="2" a="1"/>
  <c r="M43" i="2"/>
  <c r="Q43" i="2"/>
  <c r="R43" i="2"/>
  <c r="J44" i="2"/>
  <c r="K44" i="2" a="1"/>
  <c r="K44" i="2" s="1"/>
  <c r="S44" i="2" s="1"/>
  <c r="M44" i="2" a="1"/>
  <c r="M44" i="2" s="1"/>
  <c r="Q44" i="2"/>
  <c r="R44" i="2"/>
  <c r="J45" i="2"/>
  <c r="K45" i="2" a="1"/>
  <c r="K45" i="2" s="1"/>
  <c r="S45" i="2" s="1"/>
  <c r="M45" i="2" a="1"/>
  <c r="M45" i="2" s="1"/>
  <c r="Q45" i="2"/>
  <c r="R45" i="2"/>
  <c r="J46" i="2"/>
  <c r="K46" i="2" a="1"/>
  <c r="K46" i="2"/>
  <c r="S46" i="2" s="1"/>
  <c r="M46" i="2" a="1"/>
  <c r="M46" i="2"/>
  <c r="Q46" i="2"/>
  <c r="R46" i="2"/>
  <c r="J47" i="2"/>
  <c r="K47" i="2" a="1"/>
  <c r="K47" i="2" s="1"/>
  <c r="S47" i="2" s="1"/>
  <c r="M47" i="2" a="1"/>
  <c r="M47" i="2" s="1"/>
  <c r="Q47" i="2"/>
  <c r="R47" i="2"/>
  <c r="J48" i="2"/>
  <c r="K48" i="2" a="1"/>
  <c r="K48" i="2"/>
  <c r="S48" i="2" s="1"/>
  <c r="M48" i="2" a="1"/>
  <c r="M48" i="2"/>
  <c r="Q48" i="2"/>
  <c r="R48" i="2"/>
  <c r="J49" i="2"/>
  <c r="K49" i="2" a="1"/>
  <c r="K49" i="2" s="1"/>
  <c r="S49" i="2" s="1"/>
  <c r="M49" i="2" a="1"/>
  <c r="M49" i="2" s="1"/>
  <c r="Q49" i="2"/>
  <c r="R49" i="2"/>
  <c r="J50" i="2"/>
  <c r="K50" i="2" a="1"/>
  <c r="K50" i="2"/>
  <c r="S50" i="2" s="1"/>
  <c r="M50" i="2" a="1"/>
  <c r="M50" i="2"/>
  <c r="Q50" i="2"/>
  <c r="R50" i="2"/>
  <c r="J51" i="2"/>
  <c r="K51" i="2" a="1"/>
  <c r="K51" i="2" s="1"/>
  <c r="S51" i="2" s="1"/>
  <c r="M51" i="2" a="1"/>
  <c r="M51" i="2" s="1"/>
  <c r="Q51" i="2"/>
  <c r="R51" i="2"/>
  <c r="J52" i="2"/>
  <c r="K52" i="2" a="1"/>
  <c r="K52" i="2" s="1"/>
  <c r="S52" i="2" s="1"/>
  <c r="M52" i="2" a="1"/>
  <c r="M52" i="2" s="1"/>
  <c r="Q52" i="2"/>
  <c r="R52" i="2"/>
  <c r="J53" i="2"/>
  <c r="K53" i="2" a="1"/>
  <c r="K53" i="2" s="1"/>
  <c r="S53" i="2" s="1"/>
  <c r="M53" i="2" a="1"/>
  <c r="M53" i="2" s="1"/>
  <c r="Q53" i="2"/>
  <c r="R53" i="2"/>
  <c r="J54" i="2"/>
  <c r="K54" i="2" a="1"/>
  <c r="K54" i="2"/>
  <c r="S54" i="2" s="1"/>
  <c r="M54" i="2" a="1"/>
  <c r="M54" i="2"/>
  <c r="Q54" i="2"/>
  <c r="R54" i="2"/>
  <c r="J55" i="2"/>
  <c r="K55" i="2" a="1"/>
  <c r="K55" i="2" s="1"/>
  <c r="S55" i="2" s="1"/>
  <c r="M55" i="2" a="1"/>
  <c r="M55" i="2" s="1"/>
  <c r="Q55" i="2"/>
  <c r="R55" i="2"/>
  <c r="J56" i="2"/>
  <c r="K56" i="2" a="1"/>
  <c r="K56" i="2"/>
  <c r="S56" i="2" s="1"/>
  <c r="M56" i="2" a="1"/>
  <c r="M56" i="2"/>
  <c r="Q56" i="2"/>
  <c r="R56" i="2"/>
  <c r="J57" i="2"/>
  <c r="K57" i="2" a="1"/>
  <c r="K57" i="2" s="1"/>
  <c r="S57" i="2" s="1"/>
  <c r="M57" i="2" a="1"/>
  <c r="M57" i="2" s="1"/>
  <c r="Q57" i="2"/>
  <c r="R57" i="2"/>
  <c r="J58" i="2"/>
  <c r="K58" i="2" a="1"/>
  <c r="K58" i="2"/>
  <c r="S58" i="2" s="1"/>
  <c r="M58" i="2" a="1"/>
  <c r="M58" i="2"/>
  <c r="Q58" i="2"/>
  <c r="R58" i="2"/>
  <c r="J59" i="2"/>
  <c r="K59" i="2" a="1"/>
  <c r="K59" i="2" s="1"/>
  <c r="S59" i="2" s="1"/>
  <c r="M59" i="2" a="1"/>
  <c r="M59" i="2" s="1"/>
  <c r="Q59" i="2"/>
  <c r="R59" i="2"/>
  <c r="J60" i="2"/>
  <c r="K60" i="2" a="1"/>
  <c r="K60" i="2" s="1"/>
  <c r="S60" i="2" s="1"/>
  <c r="M60" i="2" a="1"/>
  <c r="M60" i="2" s="1"/>
  <c r="Q60" i="2"/>
  <c r="R60" i="2"/>
  <c r="J61" i="2"/>
  <c r="K61" i="2" a="1"/>
  <c r="K61" i="2" s="1"/>
  <c r="S61" i="2" s="1"/>
  <c r="M61" i="2" a="1"/>
  <c r="M61" i="2" s="1"/>
  <c r="Q61" i="2"/>
  <c r="R61" i="2"/>
  <c r="J62" i="2"/>
  <c r="K62" i="2" a="1"/>
  <c r="K62" i="2"/>
  <c r="S62" i="2" s="1"/>
  <c r="M62" i="2" a="1"/>
  <c r="M62" i="2"/>
  <c r="Q62" i="2"/>
  <c r="R62" i="2"/>
  <c r="J63" i="2"/>
  <c r="K63" i="2" a="1"/>
  <c r="K63" i="2" s="1"/>
  <c r="M63" i="2" a="1"/>
  <c r="M63" i="2" s="1"/>
  <c r="Q63" i="2"/>
  <c r="R63" i="2"/>
  <c r="S63" i="2"/>
  <c r="J64" i="2"/>
  <c r="K64" i="2" a="1"/>
  <c r="K64" i="2"/>
  <c r="S64" i="2" s="1"/>
  <c r="M64" i="2" a="1"/>
  <c r="M64" i="2"/>
  <c r="Q64" i="2"/>
  <c r="R64" i="2"/>
  <c r="J65" i="2"/>
  <c r="K65" i="2" a="1"/>
  <c r="K65" i="2" s="1"/>
  <c r="S65" i="2" s="1"/>
  <c r="M65" i="2" a="1"/>
  <c r="M65" i="2" s="1"/>
  <c r="Q65" i="2"/>
  <c r="R65" i="2"/>
  <c r="J66" i="2"/>
  <c r="K66" i="2" a="1"/>
  <c r="K66" i="2"/>
  <c r="S66" i="2" s="1"/>
  <c r="M66" i="2" a="1"/>
  <c r="M66" i="2"/>
  <c r="Q66" i="2"/>
  <c r="R66" i="2"/>
  <c r="J67" i="2"/>
  <c r="K67" i="2" a="1"/>
  <c r="K67" i="2" s="1"/>
  <c r="M67" i="2" a="1"/>
  <c r="M67" i="2" s="1"/>
  <c r="Q67" i="2"/>
  <c r="R67" i="2"/>
  <c r="S67" i="2"/>
  <c r="J68" i="2"/>
  <c r="K68" i="2" a="1"/>
  <c r="K68" i="2" s="1"/>
  <c r="S68" i="2" s="1"/>
  <c r="M68" i="2" a="1"/>
  <c r="M68" i="2"/>
  <c r="Q68" i="2"/>
  <c r="R68" i="2"/>
  <c r="J69" i="2"/>
  <c r="K69" i="2" a="1"/>
  <c r="K69" i="2" s="1"/>
  <c r="S69" i="2" s="1"/>
  <c r="M69" i="2" a="1"/>
  <c r="M69" i="2" s="1"/>
  <c r="Q69" i="2"/>
  <c r="R69" i="2"/>
  <c r="J70" i="2"/>
  <c r="K70" i="2" a="1"/>
  <c r="K70" i="2"/>
  <c r="S70" i="2" s="1"/>
  <c r="M70" i="2" a="1"/>
  <c r="M70" i="2" s="1"/>
  <c r="Q70" i="2"/>
  <c r="R70" i="2"/>
  <c r="J71" i="2"/>
  <c r="K71" i="2" a="1"/>
  <c r="K71" i="2" s="1"/>
  <c r="M71" i="2" a="1"/>
  <c r="M71" i="2" s="1"/>
  <c r="Q71" i="2"/>
  <c r="R71" i="2"/>
  <c r="S71" i="2"/>
  <c r="J72" i="2"/>
  <c r="K72" i="2" a="1"/>
  <c r="K72" i="2"/>
  <c r="S72" i="2" s="1"/>
  <c r="M72" i="2" a="1"/>
  <c r="M72" i="2"/>
  <c r="Q72" i="2"/>
  <c r="R72" i="2"/>
  <c r="J73" i="2"/>
  <c r="K73" i="2" a="1"/>
  <c r="K73" i="2" s="1"/>
  <c r="M73" i="2" a="1"/>
  <c r="M73" i="2" s="1"/>
  <c r="Q73" i="2"/>
  <c r="R73" i="2"/>
  <c r="S73" i="2"/>
  <c r="J74" i="2"/>
  <c r="K74" i="2" a="1"/>
  <c r="K74" i="2"/>
  <c r="S74" i="2" s="1"/>
  <c r="M74" i="2" a="1"/>
  <c r="M74" i="2"/>
  <c r="Q74" i="2"/>
  <c r="R74" i="2"/>
  <c r="J75" i="2"/>
  <c r="K75" i="2" a="1"/>
  <c r="K75" i="2" s="1"/>
  <c r="S75" i="2" s="1"/>
  <c r="M75" i="2" a="1"/>
  <c r="M75" i="2" s="1"/>
  <c r="Q75" i="2"/>
  <c r="R75" i="2"/>
  <c r="J76" i="2"/>
  <c r="K76" i="2" a="1"/>
  <c r="K76" i="2"/>
  <c r="S76" i="2" s="1"/>
  <c r="M76" i="2" a="1"/>
  <c r="M76" i="2"/>
  <c r="Q76" i="2"/>
  <c r="R76" i="2"/>
  <c r="J77" i="2"/>
  <c r="K77" i="2" a="1"/>
  <c r="K77" i="2" s="1"/>
  <c r="M77" i="2" a="1"/>
  <c r="M77" i="2" s="1"/>
  <c r="Q77" i="2"/>
  <c r="R77" i="2"/>
  <c r="S77" i="2"/>
  <c r="J78" i="2"/>
  <c r="K78" i="2" a="1"/>
  <c r="K78" i="2" s="1"/>
  <c r="S78" i="2" s="1"/>
  <c r="M78" i="2" a="1"/>
  <c r="M78" i="2"/>
  <c r="Q78" i="2"/>
  <c r="R78" i="2"/>
  <c r="J79" i="2"/>
  <c r="K79" i="2" a="1"/>
  <c r="K79" i="2" s="1"/>
  <c r="M79" i="2" a="1"/>
  <c r="M79" i="2" s="1"/>
  <c r="Q79" i="2"/>
  <c r="R79" i="2"/>
  <c r="S79" i="2"/>
  <c r="J80" i="2"/>
  <c r="K80" i="2" a="1"/>
  <c r="K80" i="2"/>
  <c r="S80" i="2" s="1"/>
  <c r="M80" i="2" a="1"/>
  <c r="M80" i="2"/>
  <c r="Q80" i="2"/>
  <c r="R80" i="2"/>
  <c r="J81" i="2"/>
  <c r="K81" i="2" a="1"/>
  <c r="K81" i="2" s="1"/>
  <c r="M81" i="2" a="1"/>
  <c r="M81" i="2" s="1"/>
  <c r="Q81" i="2"/>
  <c r="R81" i="2"/>
  <c r="S81" i="2"/>
  <c r="J82" i="2"/>
  <c r="K82" i="2" a="1"/>
  <c r="K82" i="2"/>
  <c r="S82" i="2" s="1"/>
  <c r="M82" i="2" a="1"/>
  <c r="M82" i="2"/>
  <c r="Q82" i="2"/>
  <c r="R82" i="2"/>
  <c r="J83" i="2"/>
  <c r="K83" i="2" a="1"/>
  <c r="K83" i="2" s="1"/>
  <c r="M83" i="2" a="1"/>
  <c r="M83" i="2" s="1"/>
  <c r="Q83" i="2"/>
  <c r="R83" i="2"/>
  <c r="S83" i="2"/>
  <c r="J84" i="2"/>
  <c r="K84" i="2" a="1"/>
  <c r="K84" i="2"/>
  <c r="S84" i="2" s="1"/>
  <c r="M84" i="2" a="1"/>
  <c r="M84" i="2"/>
  <c r="Q84" i="2"/>
  <c r="R84" i="2"/>
  <c r="J85" i="2"/>
  <c r="K85" i="2" a="1"/>
  <c r="K85" i="2" s="1"/>
  <c r="S85" i="2" s="1"/>
  <c r="M85" i="2" a="1"/>
  <c r="M85" i="2" s="1"/>
  <c r="Q85" i="2"/>
  <c r="R85" i="2"/>
  <c r="J86" i="2"/>
  <c r="K86" i="2" a="1"/>
  <c r="K86" i="2"/>
  <c r="S86" i="2" s="1"/>
  <c r="M86" i="2" a="1"/>
  <c r="M86" i="2"/>
  <c r="Q86" i="2"/>
  <c r="R86" i="2"/>
  <c r="J87" i="2"/>
  <c r="K87" i="2" a="1"/>
  <c r="K87" i="2" s="1"/>
  <c r="S87" i="2" s="1"/>
  <c r="M87" i="2" a="1"/>
  <c r="M87" i="2" s="1"/>
  <c r="Q87" i="2"/>
  <c r="R87" i="2"/>
  <c r="J88" i="2"/>
  <c r="K88" i="2" a="1"/>
  <c r="K88" i="2"/>
  <c r="S88" i="2" s="1"/>
  <c r="M88" i="2" a="1"/>
  <c r="M88" i="2"/>
  <c r="Q88" i="2"/>
  <c r="R88" i="2"/>
  <c r="J89" i="2"/>
  <c r="K89" i="2" a="1"/>
  <c r="K89" i="2" s="1"/>
  <c r="M89" i="2" a="1"/>
  <c r="M89" i="2" s="1"/>
  <c r="Q89" i="2"/>
  <c r="R89" i="2"/>
  <c r="S89" i="2"/>
  <c r="J90" i="2"/>
  <c r="K90" i="2" a="1"/>
  <c r="K90" i="2" s="1"/>
  <c r="S90" i="2" s="1"/>
  <c r="M90" i="2" a="1"/>
  <c r="M90" i="2" s="1"/>
  <c r="Q90" i="2"/>
  <c r="R90" i="2"/>
  <c r="J91" i="2"/>
  <c r="K91" i="2" a="1"/>
  <c r="K91" i="2" s="1"/>
  <c r="M91" i="2" a="1"/>
  <c r="M91" i="2" s="1"/>
  <c r="Q91" i="2"/>
  <c r="R91" i="2"/>
  <c r="S91" i="2"/>
  <c r="J92" i="2"/>
  <c r="K92" i="2" a="1"/>
  <c r="K92" i="2"/>
  <c r="S92" i="2" s="1"/>
  <c r="M92" i="2" a="1"/>
  <c r="M92" i="2"/>
  <c r="Q92" i="2"/>
  <c r="R92" i="2"/>
  <c r="J93" i="2"/>
  <c r="K93" i="2" a="1"/>
  <c r="K93" i="2" s="1"/>
  <c r="M93" i="2" a="1"/>
  <c r="M93" i="2" s="1"/>
  <c r="Q93" i="2"/>
  <c r="R93" i="2"/>
  <c r="S93" i="2"/>
  <c r="J94" i="2"/>
  <c r="K94" i="2" a="1"/>
  <c r="K94" i="2"/>
  <c r="S94" i="2" s="1"/>
  <c r="M94" i="2" a="1"/>
  <c r="M94" i="2"/>
  <c r="Q94" i="2"/>
  <c r="R94" i="2"/>
  <c r="J95" i="2"/>
  <c r="K95" i="2" a="1"/>
  <c r="K95" i="2" s="1"/>
  <c r="M95" i="2" a="1"/>
  <c r="M95" i="2" s="1"/>
  <c r="Q95" i="2"/>
  <c r="R95" i="2"/>
  <c r="S95" i="2"/>
  <c r="J96" i="2"/>
  <c r="K96" i="2" a="1"/>
  <c r="K96" i="2"/>
  <c r="S96" i="2" s="1"/>
  <c r="M96" i="2" a="1"/>
  <c r="M96" i="2"/>
  <c r="Q96" i="2"/>
  <c r="R96" i="2"/>
  <c r="J97" i="2"/>
  <c r="K97" i="2" a="1"/>
  <c r="K97" i="2" s="1"/>
  <c r="S97" i="2" s="1"/>
  <c r="M97" i="2" a="1"/>
  <c r="M97" i="2" s="1"/>
  <c r="Q97" i="2"/>
  <c r="R97" i="2"/>
  <c r="J98" i="2"/>
  <c r="K98" i="2" a="1"/>
  <c r="K98" i="2"/>
  <c r="S98" i="2" s="1"/>
  <c r="M98" i="2" a="1"/>
  <c r="M98" i="2"/>
  <c r="Q98" i="2"/>
  <c r="R98" i="2"/>
  <c r="J99" i="2"/>
  <c r="K99" i="2" a="1"/>
  <c r="K99" i="2" s="1"/>
  <c r="M99" i="2" a="1"/>
  <c r="M99" i="2" s="1"/>
  <c r="Q99" i="2"/>
  <c r="R99" i="2"/>
  <c r="S99" i="2"/>
  <c r="J100" i="2"/>
  <c r="K100" i="2" a="1"/>
  <c r="K100" i="2"/>
  <c r="S100" i="2" s="1"/>
  <c r="M100" i="2" a="1"/>
  <c r="M100" i="2"/>
  <c r="Q100" i="2"/>
  <c r="R100" i="2"/>
  <c r="J101" i="2"/>
  <c r="K101" i="2" a="1"/>
  <c r="K101" i="2" s="1"/>
  <c r="M101" i="2" a="1"/>
  <c r="M101" i="2" s="1"/>
  <c r="Q101" i="2"/>
  <c r="R101" i="2"/>
  <c r="S101" i="2"/>
  <c r="J102" i="2"/>
  <c r="K102" i="2" a="1"/>
  <c r="K102" i="2"/>
  <c r="S102" i="2" s="1"/>
  <c r="M102" i="2" a="1"/>
  <c r="M102" i="2" s="1"/>
  <c r="Q102" i="2"/>
  <c r="R102" i="2"/>
  <c r="J103" i="2"/>
  <c r="K103" i="2" a="1"/>
  <c r="K103" i="2" s="1"/>
  <c r="M103" i="2" a="1"/>
  <c r="M103" i="2" s="1"/>
  <c r="Q103" i="2"/>
  <c r="R103" i="2"/>
  <c r="S103" i="2"/>
  <c r="J104" i="2"/>
  <c r="K104" i="2" a="1"/>
  <c r="K104" i="2"/>
  <c r="S104" i="2" s="1"/>
  <c r="M104" i="2" a="1"/>
  <c r="M104" i="2"/>
  <c r="Q104" i="2"/>
  <c r="R104" i="2"/>
  <c r="J105" i="2"/>
  <c r="K105" i="2" a="1"/>
  <c r="K105" i="2" s="1"/>
  <c r="M105" i="2" a="1"/>
  <c r="M105" i="2" s="1"/>
  <c r="Q105" i="2"/>
  <c r="R105" i="2"/>
  <c r="S105" i="2"/>
  <c r="J106" i="2"/>
  <c r="K106" i="2" a="1"/>
  <c r="K106" i="2"/>
  <c r="S106" i="2" s="1"/>
  <c r="M106" i="2" a="1"/>
  <c r="M106" i="2"/>
  <c r="Q106" i="2"/>
  <c r="R106" i="2"/>
  <c r="J107" i="2"/>
  <c r="K107" i="2" a="1"/>
  <c r="K107" i="2" s="1"/>
  <c r="S107" i="2" s="1"/>
  <c r="M107" i="2" a="1"/>
  <c r="M107" i="2" s="1"/>
  <c r="Q107" i="2"/>
  <c r="R107" i="2"/>
  <c r="J108" i="2"/>
  <c r="K108" i="2" a="1"/>
  <c r="K108" i="2"/>
  <c r="S108" i="2" s="1"/>
  <c r="M108" i="2" a="1"/>
  <c r="M108" i="2"/>
  <c r="Q108" i="2"/>
  <c r="R108" i="2"/>
  <c r="J109" i="2"/>
  <c r="K109" i="2" a="1"/>
  <c r="K109" i="2" s="1"/>
  <c r="M109" i="2" a="1"/>
  <c r="M109" i="2" s="1"/>
  <c r="Q109" i="2"/>
  <c r="R109" i="2"/>
  <c r="S109" i="2"/>
  <c r="J110" i="2"/>
  <c r="K110" i="2" a="1"/>
  <c r="K110" i="2" s="1"/>
  <c r="S110" i="2" s="1"/>
  <c r="M110" i="2" a="1"/>
  <c r="M110" i="2"/>
  <c r="Q110" i="2"/>
  <c r="R110" i="2"/>
  <c r="J111" i="2"/>
  <c r="K111" i="2" a="1"/>
  <c r="K111" i="2" s="1"/>
  <c r="M111" i="2" a="1"/>
  <c r="M111" i="2" s="1"/>
  <c r="Q111" i="2"/>
  <c r="R111" i="2"/>
  <c r="S111" i="2"/>
  <c r="J112" i="2"/>
  <c r="K112" i="2" a="1"/>
  <c r="K112" i="2"/>
  <c r="S112" i="2" s="1"/>
  <c r="M112" i="2" a="1"/>
  <c r="M112" i="2"/>
  <c r="Q112" i="2"/>
  <c r="R112" i="2"/>
  <c r="J113" i="2"/>
  <c r="K113" i="2" a="1"/>
  <c r="K113" i="2" s="1"/>
  <c r="M113" i="2" a="1"/>
  <c r="M113" i="2" s="1"/>
  <c r="Q113" i="2"/>
  <c r="R113" i="2"/>
  <c r="S113" i="2"/>
  <c r="J114" i="2"/>
  <c r="K114" i="2" a="1"/>
  <c r="K114" i="2"/>
  <c r="S114" i="2" s="1"/>
  <c r="M114" i="2" a="1"/>
  <c r="M114" i="2"/>
  <c r="Q114" i="2"/>
  <c r="R114" i="2"/>
  <c r="J115" i="2"/>
  <c r="K115" i="2" a="1"/>
  <c r="K115" i="2" s="1"/>
  <c r="M115" i="2" a="1"/>
  <c r="M115" i="2" s="1"/>
  <c r="Q115" i="2"/>
  <c r="R115" i="2"/>
  <c r="S115" i="2"/>
  <c r="J116" i="2"/>
  <c r="K116" i="2" a="1"/>
  <c r="K116" i="2"/>
  <c r="S116" i="2" s="1"/>
  <c r="M116" i="2" a="1"/>
  <c r="M116" i="2"/>
  <c r="Q116" i="2"/>
  <c r="R116" i="2"/>
  <c r="J117" i="2"/>
  <c r="K117" i="2" a="1"/>
  <c r="K117" i="2" s="1"/>
  <c r="S117" i="2" s="1"/>
  <c r="M117" i="2" a="1"/>
  <c r="M117" i="2" s="1"/>
  <c r="Q117" i="2"/>
  <c r="R117" i="2"/>
  <c r="J118" i="2"/>
  <c r="K118" i="2" a="1"/>
  <c r="K118" i="2"/>
  <c r="S118" i="2" s="1"/>
  <c r="M118" i="2" a="1"/>
  <c r="M118" i="2"/>
  <c r="Q118" i="2"/>
  <c r="R118" i="2"/>
  <c r="J119" i="2"/>
  <c r="K119" i="2" a="1"/>
  <c r="K119" i="2" s="1"/>
  <c r="S119" i="2" s="1"/>
  <c r="M119" i="2" a="1"/>
  <c r="M119" i="2" s="1"/>
  <c r="Q119" i="2"/>
  <c r="R119" i="2"/>
  <c r="J120" i="2"/>
  <c r="K120" i="2" a="1"/>
  <c r="K120" i="2"/>
  <c r="S120" i="2" s="1"/>
  <c r="M120" i="2" a="1"/>
  <c r="M120" i="2"/>
  <c r="Q120" i="2"/>
  <c r="R120" i="2"/>
  <c r="J121" i="2"/>
  <c r="K121" i="2" a="1"/>
  <c r="K121" i="2" s="1"/>
  <c r="M121" i="2" a="1"/>
  <c r="M121" i="2" s="1"/>
  <c r="Q121" i="2"/>
  <c r="R121" i="2"/>
  <c r="S121" i="2"/>
  <c r="J122" i="2"/>
  <c r="K122" i="2" a="1"/>
  <c r="K122" i="2" s="1"/>
  <c r="S122" i="2" s="1"/>
  <c r="M122" i="2" a="1"/>
  <c r="M122" i="2" s="1"/>
  <c r="Q122" i="2"/>
  <c r="R122" i="2"/>
  <c r="J123" i="2"/>
  <c r="K123" i="2" a="1"/>
  <c r="K123" i="2" s="1"/>
  <c r="M123" i="2" a="1"/>
  <c r="M123" i="2" s="1"/>
  <c r="Q123" i="2"/>
  <c r="R123" i="2"/>
  <c r="S123" i="2"/>
  <c r="J124" i="2"/>
  <c r="K124" i="2" a="1"/>
  <c r="K124" i="2"/>
  <c r="S124" i="2" s="1"/>
  <c r="M124" i="2" a="1"/>
  <c r="M124" i="2"/>
  <c r="Q124" i="2"/>
  <c r="R124" i="2"/>
  <c r="J125" i="2"/>
  <c r="K125" i="2" a="1"/>
  <c r="K125" i="2" s="1"/>
  <c r="M125" i="2" a="1"/>
  <c r="M125" i="2" s="1"/>
  <c r="Q125" i="2"/>
  <c r="R125" i="2"/>
  <c r="S125" i="2"/>
  <c r="J126" i="2"/>
  <c r="K126" i="2" a="1"/>
  <c r="K126" i="2"/>
  <c r="S126" i="2" s="1"/>
  <c r="M126" i="2" a="1"/>
  <c r="M126" i="2"/>
  <c r="Q126" i="2"/>
  <c r="R126" i="2"/>
  <c r="J127" i="2"/>
  <c r="K127" i="2" a="1"/>
  <c r="K127" i="2" s="1"/>
  <c r="M127" i="2" a="1"/>
  <c r="M127" i="2" s="1"/>
  <c r="Q127" i="2"/>
  <c r="R127" i="2"/>
  <c r="S127" i="2"/>
  <c r="J128" i="2"/>
  <c r="K128" i="2" a="1"/>
  <c r="K128" i="2"/>
  <c r="S128" i="2" s="1"/>
  <c r="M128" i="2" a="1"/>
  <c r="M128" i="2"/>
  <c r="Q128" i="2"/>
  <c r="R128" i="2"/>
  <c r="J129" i="2"/>
  <c r="K129" i="2" a="1"/>
  <c r="K129" i="2" s="1"/>
  <c r="S129" i="2" s="1"/>
  <c r="M129" i="2" a="1"/>
  <c r="M129" i="2" s="1"/>
  <c r="Q129" i="2"/>
  <c r="R129" i="2"/>
  <c r="J130" i="2"/>
  <c r="K130" i="2" a="1"/>
  <c r="K130" i="2"/>
  <c r="S130" i="2" s="1"/>
  <c r="M130" i="2" a="1"/>
  <c r="M130" i="2"/>
  <c r="Q130" i="2"/>
  <c r="R130" i="2"/>
  <c r="S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<sst xmlns="http://schemas.openxmlformats.org/spreadsheetml/2006/main" count="660" uniqueCount="288">
  <si>
    <t>Khánh Sơn</t>
  </si>
  <si>
    <t>575</t>
  </si>
  <si>
    <t>Thị trấn</t>
  </si>
  <si>
    <t>Tô Hạp</t>
  </si>
  <si>
    <t>22714</t>
  </si>
  <si>
    <t>Xã</t>
  </si>
  <si>
    <t>Thành Sơn</t>
  </si>
  <si>
    <t>22717</t>
  </si>
  <si>
    <t>Sơn Trung</t>
  </si>
  <si>
    <t>22729</t>
  </si>
  <si>
    <t>Sơn Lâm</t>
  </si>
  <si>
    <t>22720</t>
  </si>
  <si>
    <t>Sơn Hiệp</t>
  </si>
  <si>
    <t>22723</t>
  </si>
  <si>
    <t>Sơn Bình</t>
  </si>
  <si>
    <t>22726</t>
  </si>
  <si>
    <t>Ba Cụm Nam</t>
  </si>
  <si>
    <t>22735</t>
  </si>
  <si>
    <t>Ba Cụm Bắc</t>
  </si>
  <si>
    <t>22732</t>
  </si>
  <si>
    <t>Diên Khánh</t>
  </si>
  <si>
    <t>574</t>
  </si>
  <si>
    <t>Xuân Đồng</t>
  </si>
  <si>
    <t>22660</t>
  </si>
  <si>
    <t>Suối Tiên</t>
  </si>
  <si>
    <t>22705</t>
  </si>
  <si>
    <t>Suối Hiệp</t>
  </si>
  <si>
    <t>22702</t>
  </si>
  <si>
    <t>Diên Toàn</t>
  </si>
  <si>
    <t>22690</t>
  </si>
  <si>
    <t>Diên Thọ</t>
  </si>
  <si>
    <t>22672</t>
  </si>
  <si>
    <t>Diên Thạnh</t>
  </si>
  <si>
    <t>22687</t>
  </si>
  <si>
    <t>Diên Tân</t>
  </si>
  <si>
    <t>22681</t>
  </si>
  <si>
    <t>Diên Sơn</t>
  </si>
  <si>
    <t>22663</t>
  </si>
  <si>
    <t>Diên Phước</t>
  </si>
  <si>
    <t>22675</t>
  </si>
  <si>
    <t>Diên Phú</t>
  </si>
  <si>
    <t>22669</t>
  </si>
  <si>
    <t>Diên Lâm</t>
  </si>
  <si>
    <t>22654</t>
  </si>
  <si>
    <t>Diên Lạc</t>
  </si>
  <si>
    <t>22678</t>
  </si>
  <si>
    <t>22651</t>
  </si>
  <si>
    <t>Diên Hòa</t>
  </si>
  <si>
    <t>22684</t>
  </si>
  <si>
    <t>Diên Điền</t>
  </si>
  <si>
    <t>22657</t>
  </si>
  <si>
    <t>Diên An</t>
  </si>
  <si>
    <t>22693</t>
  </si>
  <si>
    <t>Bình Lộc</t>
  </si>
  <si>
    <t>22696</t>
  </si>
  <si>
    <t>Khánh Vĩnh</t>
  </si>
  <si>
    <t>573</t>
  </si>
  <si>
    <t>Sơn Thái</t>
  </si>
  <si>
    <t>22648</t>
  </si>
  <si>
    <t>Sông Cầu</t>
  </si>
  <si>
    <t>22630</t>
  </si>
  <si>
    <t>Liên Sang</t>
  </si>
  <si>
    <t>22639</t>
  </si>
  <si>
    <t>22609</t>
  </si>
  <si>
    <t>Khánh Trung</t>
  </si>
  <si>
    <t>22618</t>
  </si>
  <si>
    <t>Khánh Thượng</t>
  </si>
  <si>
    <t>22624</t>
  </si>
  <si>
    <t>Khánh Thành</t>
  </si>
  <si>
    <t>22642</t>
  </si>
  <si>
    <t>Khánh Phú</t>
  </si>
  <si>
    <t>22645</t>
  </si>
  <si>
    <t>Khánh Nam</t>
  </si>
  <si>
    <t>22627</t>
  </si>
  <si>
    <t>Khánh Hiệp</t>
  </si>
  <si>
    <t>22612</t>
  </si>
  <si>
    <t>Khánh Đông</t>
  </si>
  <si>
    <t>22621</t>
  </si>
  <si>
    <t>Khánh Bình</t>
  </si>
  <si>
    <t>22615</t>
  </si>
  <si>
    <t>Giang Ly</t>
  </si>
  <si>
    <t>22633</t>
  </si>
  <si>
    <t>Cầu Bà</t>
  </si>
  <si>
    <t>22636</t>
  </si>
  <si>
    <t>Ninh Hòa</t>
  </si>
  <si>
    <t>572</t>
  </si>
  <si>
    <t>Ninh Phước</t>
  </si>
  <si>
    <t>22606</t>
  </si>
  <si>
    <t>Ninh Xuân</t>
  </si>
  <si>
    <t>22555</t>
  </si>
  <si>
    <t>Ninh Trung</t>
  </si>
  <si>
    <t>22549</t>
  </si>
  <si>
    <t>Ninh Thượng</t>
  </si>
  <si>
    <t>22537</t>
  </si>
  <si>
    <t>Phường</t>
  </si>
  <si>
    <t>Ninh Thủy</t>
  </si>
  <si>
    <t>22567</t>
  </si>
  <si>
    <t>Ninh Thọ</t>
  </si>
  <si>
    <t>22546</t>
  </si>
  <si>
    <t>Ninh Thân</t>
  </si>
  <si>
    <t>22558</t>
  </si>
  <si>
    <t>Ninh Tây</t>
  </si>
  <si>
    <t>22534</t>
  </si>
  <si>
    <t>Ninh Tân</t>
  </si>
  <si>
    <t>22585</t>
  </si>
  <si>
    <t>Ninh Sơn</t>
  </si>
  <si>
    <t>22531</t>
  </si>
  <si>
    <t>Ninh Sim</t>
  </si>
  <si>
    <t>22552</t>
  </si>
  <si>
    <t>Ninh Quang</t>
  </si>
  <si>
    <t>22588</t>
  </si>
  <si>
    <t>Ninh Phụng</t>
  </si>
  <si>
    <t>22573</t>
  </si>
  <si>
    <t>Ninh Phú</t>
  </si>
  <si>
    <t>22582</t>
  </si>
  <si>
    <t>Ninh Lộc</t>
  </si>
  <si>
    <t>22600</t>
  </si>
  <si>
    <t>Ninh Ích</t>
  </si>
  <si>
    <t>22603</t>
  </si>
  <si>
    <t>Ninh Hưng</t>
  </si>
  <si>
    <t>22597</t>
  </si>
  <si>
    <t>Ninh Hiệp</t>
  </si>
  <si>
    <t>22528</t>
  </si>
  <si>
    <t>Ninh Hải</t>
  </si>
  <si>
    <t>22543</t>
  </si>
  <si>
    <t>Ninh Hà</t>
  </si>
  <si>
    <t>22594</t>
  </si>
  <si>
    <t>Ninh Giang</t>
  </si>
  <si>
    <t>22591</t>
  </si>
  <si>
    <t>Ninh Đông</t>
  </si>
  <si>
    <t>22564</t>
  </si>
  <si>
    <t>Ninh Đa</t>
  </si>
  <si>
    <t>22570</t>
  </si>
  <si>
    <t>Ninh Diêm</t>
  </si>
  <si>
    <t>22561</t>
  </si>
  <si>
    <t>Ninh Bình</t>
  </si>
  <si>
    <t>22576</t>
  </si>
  <si>
    <t>Ninh An</t>
  </si>
  <si>
    <t>22540</t>
  </si>
  <si>
    <t>Vạn Ninh</t>
  </si>
  <si>
    <t>571</t>
  </si>
  <si>
    <t>Xuân Sơn</t>
  </si>
  <si>
    <t>22522</t>
  </si>
  <si>
    <t>Vạn Thọ</t>
  </si>
  <si>
    <t>22504</t>
  </si>
  <si>
    <t>Vạn Thắng</t>
  </si>
  <si>
    <t>22516</t>
  </si>
  <si>
    <t>Vạn Thạnh</t>
  </si>
  <si>
    <t>22519</t>
  </si>
  <si>
    <t>Vạn Phước</t>
  </si>
  <si>
    <t>22495</t>
  </si>
  <si>
    <t>Vạn Phú</t>
  </si>
  <si>
    <t>22510</t>
  </si>
  <si>
    <t>Vạn Lương</t>
  </si>
  <si>
    <t>22513</t>
  </si>
  <si>
    <t>Vạn Long</t>
  </si>
  <si>
    <t>22498</t>
  </si>
  <si>
    <t>Vạn Khánh</t>
  </si>
  <si>
    <t>22507</t>
  </si>
  <si>
    <t>Vạn Hưng</t>
  </si>
  <si>
    <t>22525</t>
  </si>
  <si>
    <t>Vạn Giã</t>
  </si>
  <si>
    <t>22489</t>
  </si>
  <si>
    <t>Vạn Bình</t>
  </si>
  <si>
    <t>22501</t>
  </si>
  <si>
    <t>Đại Lãnh</t>
  </si>
  <si>
    <t>22492</t>
  </si>
  <si>
    <t>Cam Lâm</t>
  </si>
  <si>
    <t>570</t>
  </si>
  <si>
    <t>Suối Tân</t>
  </si>
  <si>
    <t>22711</t>
  </si>
  <si>
    <t>Suối Cát</t>
  </si>
  <si>
    <t>22708</t>
  </si>
  <si>
    <t>Sơn Tân</t>
  </si>
  <si>
    <t>22447</t>
  </si>
  <si>
    <t>Cam Thành Bắc</t>
  </si>
  <si>
    <t>22462</t>
  </si>
  <si>
    <t>Cam Tân</t>
  </si>
  <si>
    <t>22435</t>
  </si>
  <si>
    <t>Cam Phước Tây</t>
  </si>
  <si>
    <t>22459</t>
  </si>
  <si>
    <t>Cam Hòa</t>
  </si>
  <si>
    <t>22438</t>
  </si>
  <si>
    <t>Cam Hiệp Nam</t>
  </si>
  <si>
    <t>22456</t>
  </si>
  <si>
    <t>Cam Hiệp Bắc</t>
  </si>
  <si>
    <t>22450</t>
  </si>
  <si>
    <t>Cam Hải Tây</t>
  </si>
  <si>
    <t>22444</t>
  </si>
  <si>
    <t>Cam Hải Đông</t>
  </si>
  <si>
    <t>22441</t>
  </si>
  <si>
    <t>Cam Đức</t>
  </si>
  <si>
    <t>22453</t>
  </si>
  <si>
    <t>Cam An Nam</t>
  </si>
  <si>
    <t>22471</t>
  </si>
  <si>
    <t>Cam An Bắc</t>
  </si>
  <si>
    <t>22465</t>
  </si>
  <si>
    <t>Cam Ranh</t>
  </si>
  <si>
    <t>569</t>
  </si>
  <si>
    <t>Cam Thuận</t>
  </si>
  <si>
    <t>22426</t>
  </si>
  <si>
    <t>Cam Thịnh Tây</t>
  </si>
  <si>
    <t>22477</t>
  </si>
  <si>
    <t>Cam Thịnh Đông</t>
  </si>
  <si>
    <t>22480</t>
  </si>
  <si>
    <t>Cam Thành Nam</t>
  </si>
  <si>
    <t>22468</t>
  </si>
  <si>
    <t>Cam Phước Đông</t>
  </si>
  <si>
    <t>22474</t>
  </si>
  <si>
    <t>Cam Phúc Nam</t>
  </si>
  <si>
    <t>22414</t>
  </si>
  <si>
    <t>Cam Phúc Bắc</t>
  </si>
  <si>
    <t>22411</t>
  </si>
  <si>
    <t>Cam Phú</t>
  </si>
  <si>
    <t>22420</t>
  </si>
  <si>
    <t>Cam Nghĩa</t>
  </si>
  <si>
    <t>22408</t>
  </si>
  <si>
    <t>Cam Lợi</t>
  </si>
  <si>
    <t>22429</t>
  </si>
  <si>
    <t>Cam Lộc</t>
  </si>
  <si>
    <t>22417</t>
  </si>
  <si>
    <t>Cam Linh</t>
  </si>
  <si>
    <t>22432</t>
  </si>
  <si>
    <t>Cam Lập</t>
  </si>
  <si>
    <t>22483</t>
  </si>
  <si>
    <t>Cam Bình</t>
  </si>
  <si>
    <t>22486</t>
  </si>
  <si>
    <t>Ba Ngòi</t>
  </si>
  <si>
    <t>22423</t>
  </si>
  <si>
    <t>Nha Trang</t>
  </si>
  <si>
    <t>568</t>
  </si>
  <si>
    <t>Phương Sài</t>
  </si>
  <si>
    <t>22351</t>
  </si>
  <si>
    <t>22348</t>
  </si>
  <si>
    <t>Tân Tiến</t>
  </si>
  <si>
    <t>22366</t>
  </si>
  <si>
    <t>Vĩnh Trường</t>
  </si>
  <si>
    <t>22381</t>
  </si>
  <si>
    <t>Vĩnh Trung</t>
  </si>
  <si>
    <t>22396</t>
  </si>
  <si>
    <t>Vĩnh Thọ</t>
  </si>
  <si>
    <t>22339</t>
  </si>
  <si>
    <t>Vĩnh Thạnh</t>
  </si>
  <si>
    <t>22393</t>
  </si>
  <si>
    <t>Vĩnh Thái</t>
  </si>
  <si>
    <t>22402</t>
  </si>
  <si>
    <t>Vĩnh Phương</t>
  </si>
  <si>
    <t>22387</t>
  </si>
  <si>
    <t>Vĩnh Phước</t>
  </si>
  <si>
    <t>22333</t>
  </si>
  <si>
    <t>Vĩnh Nguyên</t>
  </si>
  <si>
    <t>22375</t>
  </si>
  <si>
    <t>Vĩnh Ngọc</t>
  </si>
  <si>
    <t>22390</t>
  </si>
  <si>
    <t>Vĩnh Lương</t>
  </si>
  <si>
    <t>22384</t>
  </si>
  <si>
    <t>Vĩnh Hòa</t>
  </si>
  <si>
    <t>22327</t>
  </si>
  <si>
    <t>Vĩnh Hiệp</t>
  </si>
  <si>
    <t>22399</t>
  </si>
  <si>
    <t>Vĩnh Hải</t>
  </si>
  <si>
    <t>22330</t>
  </si>
  <si>
    <t>Phước Long</t>
  </si>
  <si>
    <t>22378</t>
  </si>
  <si>
    <t>Phước Hòa</t>
  </si>
  <si>
    <t>22372</t>
  </si>
  <si>
    <t>Phước Hải</t>
  </si>
  <si>
    <t>22357</t>
  </si>
  <si>
    <t>Phước Đồng</t>
  </si>
  <si>
    <t>22405</t>
  </si>
  <si>
    <t>Ngọc Hiệp</t>
  </si>
  <si>
    <t>22336</t>
  </si>
  <si>
    <t>Lộc Thọ</t>
  </si>
  <si>
    <t>22363</t>
  </si>
  <si>
    <t>LOS</t>
  </si>
  <si>
    <t>Income</t>
  </si>
  <si>
    <t>dan_so</t>
  </si>
  <si>
    <t>%serve</t>
  </si>
  <si>
    <t>pop_serve_air(after)</t>
  </si>
  <si>
    <t>pop_serve(after)</t>
  </si>
  <si>
    <t>Income(mil. VND)</t>
  </si>
  <si>
    <t>ten_huyen</t>
  </si>
  <si>
    <t>ma_huyen</t>
  </si>
  <si>
    <t>loai</t>
  </si>
  <si>
    <t>ten_xa</t>
  </si>
  <si>
    <t>ma_xa</t>
  </si>
  <si>
    <t>dan_so (person)</t>
  </si>
  <si>
    <t>Income (Mil. 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</si>
</sst>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/>
    <xf numFmtId="9" fontId="0" fillId="0" borderId="0" xfId="2" applyFont="1"/>
    <xf numFmtId="164" fontId="0" fillId="0" borderId="0" xfId="2" applyNumberFormat="1" applyFont="1"/>
    <xf numFmtId="165" fontId="1" fillId="0" borderId="0" xfId="1" applyNumberFormat="1"/>
  </cellXfs>
  <cellStyles count="3">
    <cellStyle name="Normal" xfId="0" builtinId="0"/>
    <cellStyle name="Normal 2" xfId="1" xr:uid="{65FEFD1D-99B6-4D1E-93AE-45D4D90BEE14}"/>
    <cellStyle name="Percent 2" xfId="2" xr:uid="{68FB07F1-FF78-4F25-8BAB-837531C62D09}"/>
  </cellStyles>
  <dxfs count="12"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DBD4-A993-4E55-9B89-DE19E411A9DE}">
  <dimension ref="A1:AO130"/>
  <sheetViews>
    <sheetView tabSelected="1" zoomScale="60" zoomScaleNormal="60" workbookViewId="0">
      <selection activeCell="AI1" sqref="AI1:AO1048576"/>
    </sheetView>
  </sheetViews>
  <sheetFormatPr defaultRowHeight="14.25" x14ac:dyDescent="0.45"/>
  <cols>
    <col min="1" max="5" width="9.06640625" style="1"/>
    <col min="6" max="9" width="0" style="1" hidden="1" customWidth="1"/>
    <col min="10" max="10" width="0" style="2" hidden="1" customWidth="1"/>
    <col min="11" max="12" width="0" style="1" hidden="1" customWidth="1"/>
    <col min="13" max="13" width="22.6640625" style="1" hidden="1" customWidth="1"/>
    <col min="14" max="34" width="9.06640625" style="1"/>
    <col min="35" max="35" width="26.86328125" style="1" customWidth="1"/>
    <col min="36" max="16384" width="9.06640625" style="1"/>
  </cols>
  <sheetData>
    <row r="1" spans="1:41" x14ac:dyDescent="0.45">
      <c r="A1" s="1" t="s">
        <v>285</v>
      </c>
      <c r="B1" s="1" t="s">
        <v>284</v>
      </c>
      <c r="C1" s="1" t="s">
        <v>283</v>
      </c>
      <c r="D1" s="1" t="s">
        <v>282</v>
      </c>
      <c r="E1" s="1" t="s">
        <v>281</v>
      </c>
      <c r="F1" s="1" t="s">
        <v>276</v>
      </c>
      <c r="G1" s="1" t="s">
        <v>280</v>
      </c>
      <c r="H1" s="1" t="s">
        <v>279</v>
      </c>
      <c r="I1" s="1" t="s">
        <v>278</v>
      </c>
      <c r="J1" s="2" t="s">
        <v>277</v>
      </c>
      <c r="K1" s="1" t="s">
        <v>274</v>
      </c>
      <c r="M1" s="1" t="s">
        <v>275</v>
      </c>
      <c r="Q1" s="1" t="s">
        <v>286</v>
      </c>
      <c r="R1" s="1" t="s">
        <v>287</v>
      </c>
      <c r="S1" s="1" t="s">
        <v>274</v>
      </c>
    </row>
    <row r="2" spans="1:41" x14ac:dyDescent="0.45">
      <c r="A2" s="1" t="s">
        <v>273</v>
      </c>
      <c r="B2" s="1" t="s">
        <v>272</v>
      </c>
      <c r="C2" s="1" t="s">
        <v>94</v>
      </c>
      <c r="D2" s="1" t="s">
        <v>230</v>
      </c>
      <c r="E2" s="1" t="s">
        <v>229</v>
      </c>
      <c r="F2" s="1">
        <v>18268</v>
      </c>
      <c r="G2" s="1">
        <v>131.86500000000001</v>
      </c>
      <c r="H2" s="1">
        <v>18268</v>
      </c>
      <c r="I2" s="1">
        <v>18268</v>
      </c>
      <c r="J2" s="3">
        <f>H2/F2</f>
        <v>1</v>
      </c>
      <c r="K2" s="1" t="str" cm="1">
        <f t="array" ref="K2">_xlfn.IFS(J2&lt;0.5,"F",J2&lt;0.6,"E",J2&lt;0.7,"D",J2&lt;0.8,"C",J2&lt;0.9,"B",J2&lt;=1,"A")</f>
        <v>A</v>
      </c>
      <c r="M2" s="1" t="str" cm="1">
        <f t="array" ref="M2">_xlfn.IFS(
 $G2&lt;=90.8,"low-income",
 $G2&lt;=100.7,"lower-middle income",
 $G2&lt;=157,"higher-middle income",
 $G2&gt;157,"high-income"
)</f>
        <v>higher-middle income</v>
      </c>
      <c r="Q2" s="1">
        <f>F2</f>
        <v>18268</v>
      </c>
      <c r="R2" s="1">
        <f>G2</f>
        <v>131.86500000000001</v>
      </c>
      <c r="S2" s="1" t="str">
        <f>K2</f>
        <v>A</v>
      </c>
    </row>
    <row r="3" spans="1:41" x14ac:dyDescent="0.45">
      <c r="A3" s="1" t="s">
        <v>271</v>
      </c>
      <c r="B3" s="1" t="s">
        <v>270</v>
      </c>
      <c r="C3" s="1" t="s">
        <v>94</v>
      </c>
      <c r="D3" s="1" t="s">
        <v>230</v>
      </c>
      <c r="E3" s="1" t="s">
        <v>229</v>
      </c>
      <c r="F3" s="1">
        <v>22676</v>
      </c>
      <c r="G3" s="1">
        <v>237.98</v>
      </c>
      <c r="H3" s="1">
        <v>6852</v>
      </c>
      <c r="I3" s="1">
        <v>7526</v>
      </c>
      <c r="J3" s="3">
        <f>H3/F3</f>
        <v>0.30216969483153994</v>
      </c>
      <c r="K3" s="1" t="str" cm="1">
        <f t="array" ref="K3">_xlfn.IFS(J3&lt;0.5,"F",J3&lt;0.6,"E",J3&lt;0.7,"D",J3&lt;0.8,"C",J3&lt;0.9,"B",J3&lt;=1,"A")</f>
        <v>F</v>
      </c>
      <c r="M3" s="1" t="str" cm="1">
        <f t="array" ref="M3">_xlfn.IFS(
 $G3&lt;=90.8,"low-income",
 $G3&lt;=100.7,"lower-middle income",
 $G3&lt;=157,"higher-middle income",
 $G3&gt;157,"high-income"
)</f>
        <v>high-income</v>
      </c>
      <c r="Q3" s="1">
        <f>F3</f>
        <v>22676</v>
      </c>
      <c r="R3" s="1">
        <f>G3</f>
        <v>237.98</v>
      </c>
      <c r="S3" s="1" t="str">
        <f>K3</f>
        <v>F</v>
      </c>
    </row>
    <row r="4" spans="1:41" x14ac:dyDescent="0.45">
      <c r="A4" s="1" t="s">
        <v>269</v>
      </c>
      <c r="B4" s="1" t="s">
        <v>268</v>
      </c>
      <c r="C4" s="1" t="s">
        <v>5</v>
      </c>
      <c r="D4" s="1" t="s">
        <v>230</v>
      </c>
      <c r="E4" s="1" t="s">
        <v>229</v>
      </c>
      <c r="F4" s="1">
        <v>32299</v>
      </c>
      <c r="G4" s="1">
        <v>97.780500000000004</v>
      </c>
      <c r="H4" s="1">
        <v>16000</v>
      </c>
      <c r="I4" s="1">
        <v>17716</v>
      </c>
      <c r="J4" s="3">
        <f>H4/F4</f>
        <v>0.49537137372674078</v>
      </c>
      <c r="K4" s="1" t="str" cm="1">
        <f t="array" ref="K4">_xlfn.IFS(J4&lt;0.5,"F",J4&lt;0.6,"E",J4&lt;0.7,"D",J4&lt;0.8,"C",J4&lt;0.9,"B",J4&lt;=1,"A")</f>
        <v>F</v>
      </c>
      <c r="M4" s="1" t="str" cm="1">
        <f t="array" ref="M4">_xlfn.IFS(
 $G4&lt;=90.8,"low-income",
 $G4&lt;=100.7,"lower-middle income",
 $G4&lt;=157,"higher-middle income",
 $G4&gt;157,"high-income"
)</f>
        <v>lower-middle income</v>
      </c>
      <c r="Q4" s="1">
        <f>F4</f>
        <v>32299</v>
      </c>
      <c r="R4" s="1">
        <f>G4</f>
        <v>97.780500000000004</v>
      </c>
      <c r="S4" s="1" t="str">
        <f>K4</f>
        <v>F</v>
      </c>
    </row>
    <row r="5" spans="1:41" x14ac:dyDescent="0.45">
      <c r="A5" s="1" t="s">
        <v>267</v>
      </c>
      <c r="B5" s="1" t="s">
        <v>266</v>
      </c>
      <c r="C5" s="1" t="s">
        <v>94</v>
      </c>
      <c r="D5" s="1" t="s">
        <v>230</v>
      </c>
      <c r="E5" s="1" t="s">
        <v>229</v>
      </c>
      <c r="F5" s="1">
        <v>17546</v>
      </c>
      <c r="G5" s="1">
        <v>210.321</v>
      </c>
      <c r="H5" s="1">
        <v>17084</v>
      </c>
      <c r="I5" s="1">
        <v>17436</v>
      </c>
      <c r="J5" s="3">
        <f>H5/F5</f>
        <v>0.97366921235609261</v>
      </c>
      <c r="K5" s="1" t="str" cm="1">
        <f t="array" ref="K5">_xlfn.IFS(J5&lt;0.5,"F",J5&lt;0.6,"E",J5&lt;0.7,"D",J5&lt;0.8,"C",J5&lt;0.9,"B",J5&lt;=1,"A")</f>
        <v>A</v>
      </c>
      <c r="M5" s="1" t="str" cm="1">
        <f t="array" ref="M5">_xlfn.IFS(
 $G5&lt;=90.8,"low-income",
 $G5&lt;=100.7,"lower-middle income",
 $G5&lt;=157,"higher-middle income",
 $G5&gt;157,"high-income"
)</f>
        <v>high-income</v>
      </c>
      <c r="Q5" s="1">
        <f>F5</f>
        <v>17546</v>
      </c>
      <c r="R5" s="1">
        <f>G5</f>
        <v>210.321</v>
      </c>
      <c r="S5" s="1" t="str">
        <f>K5</f>
        <v>A</v>
      </c>
    </row>
    <row r="6" spans="1:41" x14ac:dyDescent="0.45">
      <c r="A6" s="1" t="s">
        <v>265</v>
      </c>
      <c r="B6" s="1" t="s">
        <v>264</v>
      </c>
      <c r="C6" s="1" t="s">
        <v>94</v>
      </c>
      <c r="D6" s="1" t="s">
        <v>230</v>
      </c>
      <c r="E6" s="1" t="s">
        <v>229</v>
      </c>
      <c r="F6" s="1">
        <v>10820</v>
      </c>
      <c r="G6" s="1">
        <v>173.56897142857139</v>
      </c>
      <c r="H6" s="1">
        <v>10551</v>
      </c>
      <c r="I6" s="1">
        <v>10721</v>
      </c>
      <c r="J6" s="3">
        <f>H6/F6</f>
        <v>0.97513863216266172</v>
      </c>
      <c r="K6" s="1" t="str" cm="1">
        <f t="array" ref="K6">_xlfn.IFS(J6&lt;0.5,"F",J6&lt;0.6,"E",J6&lt;0.7,"D",J6&lt;0.8,"C",J6&lt;0.9,"B",J6&lt;=1,"A")</f>
        <v>A</v>
      </c>
      <c r="M6" s="1" t="str" cm="1">
        <f t="array" ref="M6">_xlfn.IFS(
 $G6&lt;=90.8,"low-income",
 $G6&lt;=100.7,"lower-middle income",
 $G6&lt;=157,"higher-middle income",
 $G6&gt;157,"high-income"
)</f>
        <v>high-income</v>
      </c>
      <c r="Q6" s="1">
        <f>F6</f>
        <v>10820</v>
      </c>
      <c r="R6" s="1">
        <f>G6</f>
        <v>173.56897142857139</v>
      </c>
      <c r="S6" s="1" t="str">
        <f>K6</f>
        <v>A</v>
      </c>
    </row>
    <row r="7" spans="1:41" x14ac:dyDescent="0.45">
      <c r="A7" s="1" t="s">
        <v>263</v>
      </c>
      <c r="B7" s="1" t="s">
        <v>262</v>
      </c>
      <c r="C7" s="1" t="s">
        <v>94</v>
      </c>
      <c r="D7" s="1" t="s">
        <v>230</v>
      </c>
      <c r="E7" s="1" t="s">
        <v>229</v>
      </c>
      <c r="F7" s="1">
        <v>34408</v>
      </c>
      <c r="G7" s="1">
        <v>152.29949999999999</v>
      </c>
      <c r="H7" s="1">
        <v>31295</v>
      </c>
      <c r="I7" s="1">
        <v>31810</v>
      </c>
      <c r="J7" s="3">
        <f>H7/F7</f>
        <v>0.90952685421994883</v>
      </c>
      <c r="K7" s="1" t="str" cm="1">
        <f t="array" ref="K7">_xlfn.IFS(J7&lt;0.5,"F",J7&lt;0.6,"E",J7&lt;0.7,"D",J7&lt;0.8,"C",J7&lt;0.9,"B",J7&lt;=1,"A")</f>
        <v>A</v>
      </c>
      <c r="M7" s="1" t="str" cm="1">
        <f t="array" ref="M7">_xlfn.IFS(
 $G7&lt;=90.8,"low-income",
 $G7&lt;=100.7,"lower-middle income",
 $G7&lt;=157,"higher-middle income",
 $G7&gt;157,"high-income"
)</f>
        <v>higher-middle income</v>
      </c>
      <c r="Q7" s="1">
        <f>F7</f>
        <v>34408</v>
      </c>
      <c r="R7" s="1">
        <f>G7</f>
        <v>152.29949999999999</v>
      </c>
      <c r="S7" s="1" t="str">
        <f>K7</f>
        <v>A</v>
      </c>
    </row>
    <row r="8" spans="1:41" x14ac:dyDescent="0.45">
      <c r="A8" s="1" t="s">
        <v>261</v>
      </c>
      <c r="B8" s="1" t="s">
        <v>260</v>
      </c>
      <c r="C8" s="1" t="s">
        <v>94</v>
      </c>
      <c r="D8" s="1" t="s">
        <v>230</v>
      </c>
      <c r="E8" s="1" t="s">
        <v>229</v>
      </c>
      <c r="F8" s="1">
        <v>27386</v>
      </c>
      <c r="G8" s="1">
        <v>153.15549999999999</v>
      </c>
      <c r="H8" s="1">
        <v>25971</v>
      </c>
      <c r="I8" s="1">
        <v>26513</v>
      </c>
      <c r="J8" s="3">
        <f>H8/F8</f>
        <v>0.94833126414956548</v>
      </c>
      <c r="K8" s="1" t="str" cm="1">
        <f t="array" ref="K8">_xlfn.IFS(J8&lt;0.5,"F",J8&lt;0.6,"E",J8&lt;0.7,"D",J8&lt;0.8,"C",J8&lt;0.9,"B",J8&lt;=1,"A")</f>
        <v>A</v>
      </c>
      <c r="M8" s="1" t="str" cm="1">
        <f t="array" ref="M8">_xlfn.IFS(
 $G8&lt;=90.8,"low-income",
 $G8&lt;=100.7,"lower-middle income",
 $G8&lt;=157,"higher-middle income",
 $G8&gt;157,"high-income"
)</f>
        <v>higher-middle income</v>
      </c>
      <c r="Q8" s="1">
        <f>F8</f>
        <v>27386</v>
      </c>
      <c r="R8" s="1">
        <f>G8</f>
        <v>153.15549999999999</v>
      </c>
      <c r="S8" s="1" t="str">
        <f>K8</f>
        <v>A</v>
      </c>
    </row>
    <row r="9" spans="1:41" x14ac:dyDescent="0.45">
      <c r="A9" s="1" t="s">
        <v>259</v>
      </c>
      <c r="B9" s="1" t="s">
        <v>258</v>
      </c>
      <c r="C9" s="1" t="s">
        <v>5</v>
      </c>
      <c r="D9" s="1" t="s">
        <v>230</v>
      </c>
      <c r="E9" s="1" t="s">
        <v>229</v>
      </c>
      <c r="F9" s="1">
        <v>17204</v>
      </c>
      <c r="G9" s="1">
        <v>187.34333333333331</v>
      </c>
      <c r="H9" s="1">
        <v>12749</v>
      </c>
      <c r="I9" s="1">
        <v>14160</v>
      </c>
      <c r="J9" s="3">
        <f>H9/F9</f>
        <v>0.74104859335038364</v>
      </c>
      <c r="K9" s="1" t="str" cm="1">
        <f t="array" ref="K9">_xlfn.IFS(J9&lt;0.5,"F",J9&lt;0.6,"E",J9&lt;0.7,"D",J9&lt;0.8,"C",J9&lt;0.9,"B",J9&lt;=1,"A")</f>
        <v>C</v>
      </c>
      <c r="M9" s="1" t="str" cm="1">
        <f t="array" ref="M9">_xlfn.IFS(
 $G9&lt;=90.8,"low-income",
 $G9&lt;=100.7,"lower-middle income",
 $G9&lt;=157,"higher-middle income",
 $G9&gt;157,"high-income"
)</f>
        <v>high-income</v>
      </c>
      <c r="Q9" s="1">
        <f>F9</f>
        <v>17204</v>
      </c>
      <c r="R9" s="1">
        <f>G9</f>
        <v>187.34333333333331</v>
      </c>
      <c r="S9" s="1" t="str">
        <f>K9</f>
        <v>C</v>
      </c>
      <c r="AJ9" s="2"/>
      <c r="AK9" s="2"/>
      <c r="AL9" s="2"/>
      <c r="AM9" s="2"/>
      <c r="AN9" s="2"/>
      <c r="AO9" s="2"/>
    </row>
    <row r="10" spans="1:41" x14ac:dyDescent="0.45">
      <c r="A10" s="1" t="s">
        <v>257</v>
      </c>
      <c r="B10" s="1" t="s">
        <v>256</v>
      </c>
      <c r="C10" s="1" t="s">
        <v>94</v>
      </c>
      <c r="D10" s="1" t="s">
        <v>230</v>
      </c>
      <c r="E10" s="1" t="s">
        <v>229</v>
      </c>
      <c r="F10" s="1">
        <v>28250</v>
      </c>
      <c r="G10" s="1">
        <v>207.22900000000001</v>
      </c>
      <c r="H10" s="1">
        <v>20616</v>
      </c>
      <c r="I10" s="1">
        <v>21803</v>
      </c>
      <c r="J10" s="3">
        <f>H10/F10</f>
        <v>0.72976991150442483</v>
      </c>
      <c r="K10" s="1" t="str" cm="1">
        <f t="array" ref="K10">_xlfn.IFS(J10&lt;0.5,"F",J10&lt;0.6,"E",J10&lt;0.7,"D",J10&lt;0.8,"C",J10&lt;0.9,"B",J10&lt;=1,"A")</f>
        <v>C</v>
      </c>
      <c r="M10" s="1" t="str" cm="1">
        <f t="array" ref="M10">_xlfn.IFS(
 $G10&lt;=90.8,"low-income",
 $G10&lt;=100.7,"lower-middle income",
 $G10&lt;=157,"higher-middle income",
 $G10&gt;157,"high-income"
)</f>
        <v>high-income</v>
      </c>
      <c r="Q10" s="1">
        <f>F10</f>
        <v>28250</v>
      </c>
      <c r="R10" s="1">
        <f>G10</f>
        <v>207.22900000000001</v>
      </c>
      <c r="S10" s="1" t="str">
        <f>K10</f>
        <v>C</v>
      </c>
      <c r="AJ10" s="2"/>
      <c r="AK10" s="2"/>
      <c r="AL10" s="2"/>
      <c r="AM10" s="2"/>
      <c r="AN10" s="2"/>
      <c r="AO10" s="2"/>
    </row>
    <row r="11" spans="1:41" x14ac:dyDescent="0.45">
      <c r="A11" s="1" t="s">
        <v>255</v>
      </c>
      <c r="B11" s="1" t="s">
        <v>254</v>
      </c>
      <c r="C11" s="1" t="s">
        <v>5</v>
      </c>
      <c r="D11" s="1" t="s">
        <v>230</v>
      </c>
      <c r="E11" s="1" t="s">
        <v>229</v>
      </c>
      <c r="F11" s="1">
        <v>14288</v>
      </c>
      <c r="G11" s="1">
        <v>102.79900000000001</v>
      </c>
      <c r="H11" s="1">
        <v>5676</v>
      </c>
      <c r="I11" s="1">
        <v>6725</v>
      </c>
      <c r="J11" s="3">
        <f>H11/F11</f>
        <v>0.39725643896976481</v>
      </c>
      <c r="K11" s="1" t="str" cm="1">
        <f t="array" ref="K11">_xlfn.IFS(J11&lt;0.5,"F",J11&lt;0.6,"E",J11&lt;0.7,"D",J11&lt;0.8,"C",J11&lt;0.9,"B",J11&lt;=1,"A")</f>
        <v>F</v>
      </c>
      <c r="M11" s="1" t="str" cm="1">
        <f t="array" ref="M11">_xlfn.IFS(
 $G11&lt;=90.8,"low-income",
 $G11&lt;=100.7,"lower-middle income",
 $G11&lt;=157,"higher-middle income",
 $G11&gt;157,"high-income"
)</f>
        <v>higher-middle income</v>
      </c>
      <c r="Q11" s="1">
        <f>F11</f>
        <v>14288</v>
      </c>
      <c r="R11" s="1">
        <f>G11</f>
        <v>102.79900000000001</v>
      </c>
      <c r="S11" s="1" t="str">
        <f>K11</f>
        <v>F</v>
      </c>
      <c r="AJ11" s="2"/>
      <c r="AK11" s="2"/>
      <c r="AL11" s="2"/>
      <c r="AM11" s="2"/>
      <c r="AN11" s="2"/>
      <c r="AO11" s="2"/>
    </row>
    <row r="12" spans="1:41" x14ac:dyDescent="0.45">
      <c r="A12" s="1" t="s">
        <v>253</v>
      </c>
      <c r="B12" s="1" t="s">
        <v>252</v>
      </c>
      <c r="C12" s="1" t="s">
        <v>5</v>
      </c>
      <c r="D12" s="1" t="s">
        <v>230</v>
      </c>
      <c r="E12" s="1" t="s">
        <v>229</v>
      </c>
      <c r="F12" s="1">
        <v>28941</v>
      </c>
      <c r="G12" s="1">
        <v>114.992</v>
      </c>
      <c r="H12" s="1">
        <v>3360</v>
      </c>
      <c r="I12" s="1">
        <v>4030</v>
      </c>
      <c r="J12" s="3">
        <f>H12/F12</f>
        <v>0.11609826889188349</v>
      </c>
      <c r="K12" s="1" t="str" cm="1">
        <f t="array" ref="K12">_xlfn.IFS(J12&lt;0.5,"F",J12&lt;0.6,"E",J12&lt;0.7,"D",J12&lt;0.8,"C",J12&lt;0.9,"B",J12&lt;=1,"A")</f>
        <v>F</v>
      </c>
      <c r="M12" s="1" t="str" cm="1">
        <f t="array" ref="M12">_xlfn.IFS(
 $G12&lt;=90.8,"low-income",
 $G12&lt;=100.7,"lower-middle income",
 $G12&lt;=157,"higher-middle income",
 $G12&gt;157,"high-income"
)</f>
        <v>higher-middle income</v>
      </c>
      <c r="Q12" s="1">
        <f>F12</f>
        <v>28941</v>
      </c>
      <c r="R12" s="1">
        <f>G12</f>
        <v>114.992</v>
      </c>
      <c r="S12" s="1" t="str">
        <f>K12</f>
        <v>F</v>
      </c>
      <c r="AJ12" s="2"/>
      <c r="AK12" s="2"/>
      <c r="AL12" s="2"/>
      <c r="AM12" s="2"/>
      <c r="AN12" s="2"/>
      <c r="AO12" s="2"/>
    </row>
    <row r="13" spans="1:41" x14ac:dyDescent="0.45">
      <c r="A13" s="1" t="s">
        <v>251</v>
      </c>
      <c r="B13" s="1" t="s">
        <v>250</v>
      </c>
      <c r="C13" s="1" t="s">
        <v>94</v>
      </c>
      <c r="D13" s="1" t="s">
        <v>230</v>
      </c>
      <c r="E13" s="1" t="s">
        <v>229</v>
      </c>
      <c r="F13" s="1">
        <v>22309</v>
      </c>
      <c r="G13" s="1">
        <v>88.007000000000005</v>
      </c>
      <c r="H13" s="1">
        <v>17133</v>
      </c>
      <c r="I13" s="1">
        <v>17470</v>
      </c>
      <c r="J13" s="3">
        <f>H13/F13</f>
        <v>0.76798601461293647</v>
      </c>
      <c r="K13" s="1" t="str" cm="1">
        <f t="array" ref="K13">_xlfn.IFS(J13&lt;0.5,"F",J13&lt;0.6,"E",J13&lt;0.7,"D",J13&lt;0.8,"C",J13&lt;0.9,"B",J13&lt;=1,"A")</f>
        <v>C</v>
      </c>
      <c r="M13" s="1" t="str" cm="1">
        <f t="array" ref="M13">_xlfn.IFS(
 $G13&lt;=90.8,"low-income",
 $G13&lt;=100.7,"lower-middle income",
 $G13&lt;=157,"higher-middle income",
 $G13&gt;157,"high-income"
)</f>
        <v>low-income</v>
      </c>
      <c r="Q13" s="1">
        <f>F13</f>
        <v>22309</v>
      </c>
      <c r="R13" s="1">
        <f>G13</f>
        <v>88.007000000000005</v>
      </c>
      <c r="S13" s="1" t="str">
        <f>K13</f>
        <v>C</v>
      </c>
      <c r="AJ13" s="2"/>
      <c r="AK13" s="2"/>
      <c r="AL13" s="2"/>
      <c r="AM13" s="2"/>
      <c r="AN13" s="2"/>
      <c r="AO13" s="2"/>
    </row>
    <row r="14" spans="1:41" x14ac:dyDescent="0.45">
      <c r="A14" s="1" t="s">
        <v>249</v>
      </c>
      <c r="B14" s="1" t="s">
        <v>248</v>
      </c>
      <c r="C14" s="1" t="s">
        <v>94</v>
      </c>
      <c r="D14" s="1" t="s">
        <v>230</v>
      </c>
      <c r="E14" s="1" t="s">
        <v>229</v>
      </c>
      <c r="F14" s="1">
        <v>17320</v>
      </c>
      <c r="G14" s="1">
        <v>201.09020000000001</v>
      </c>
      <c r="H14" s="1">
        <v>16263</v>
      </c>
      <c r="I14" s="1">
        <v>16263</v>
      </c>
      <c r="J14" s="3">
        <f>H14/F14</f>
        <v>0.93897228637413399</v>
      </c>
      <c r="K14" s="1" t="str" cm="1">
        <f t="array" ref="K14">_xlfn.IFS(J14&lt;0.5,"F",J14&lt;0.6,"E",J14&lt;0.7,"D",J14&lt;0.8,"C",J14&lt;0.9,"B",J14&lt;=1,"A")</f>
        <v>A</v>
      </c>
      <c r="M14" s="1" t="str" cm="1">
        <f t="array" ref="M14">_xlfn.IFS(
 $G14&lt;=90.8,"low-income",
 $G14&lt;=100.7,"lower-middle income",
 $G14&lt;=157,"higher-middle income",
 $G14&gt;157,"high-income"
)</f>
        <v>high-income</v>
      </c>
      <c r="Q14" s="1">
        <f>F14</f>
        <v>17320</v>
      </c>
      <c r="R14" s="1">
        <f>G14</f>
        <v>201.09020000000001</v>
      </c>
      <c r="S14" s="1" t="str">
        <f>K14</f>
        <v>A</v>
      </c>
    </row>
    <row r="15" spans="1:41" x14ac:dyDescent="0.45">
      <c r="A15" s="1" t="s">
        <v>247</v>
      </c>
      <c r="B15" s="1" t="s">
        <v>246</v>
      </c>
      <c r="C15" s="1" t="s">
        <v>5</v>
      </c>
      <c r="D15" s="1" t="s">
        <v>230</v>
      </c>
      <c r="E15" s="1" t="s">
        <v>229</v>
      </c>
      <c r="F15" s="1">
        <v>21845</v>
      </c>
      <c r="G15" s="1">
        <v>182.66366666666659</v>
      </c>
      <c r="H15" s="1">
        <v>15374</v>
      </c>
      <c r="I15" s="1">
        <v>16226</v>
      </c>
      <c r="J15" s="3">
        <f>H15/F15</f>
        <v>0.70377660791943242</v>
      </c>
      <c r="K15" s="1" t="str" cm="1">
        <f t="array" ref="K15">_xlfn.IFS(J15&lt;0.5,"F",J15&lt;0.6,"E",J15&lt;0.7,"D",J15&lt;0.8,"C",J15&lt;0.9,"B",J15&lt;=1,"A")</f>
        <v>C</v>
      </c>
      <c r="M15" s="1" t="str" cm="1">
        <f t="array" ref="M15">_xlfn.IFS(
 $G15&lt;=90.8,"low-income",
 $G15&lt;=100.7,"lower-middle income",
 $G15&lt;=157,"higher-middle income",
 $G15&gt;157,"high-income"
)</f>
        <v>high-income</v>
      </c>
      <c r="Q15" s="1">
        <f>F15</f>
        <v>21845</v>
      </c>
      <c r="R15" s="1">
        <f>G15</f>
        <v>182.66366666666659</v>
      </c>
      <c r="S15" s="1" t="str">
        <f>K15</f>
        <v>C</v>
      </c>
      <c r="AJ15" s="4"/>
      <c r="AN15" s="4"/>
    </row>
    <row r="16" spans="1:41" x14ac:dyDescent="0.45">
      <c r="A16" s="1" t="s">
        <v>245</v>
      </c>
      <c r="B16" s="1" t="s">
        <v>244</v>
      </c>
      <c r="C16" s="1" t="s">
        <v>5</v>
      </c>
      <c r="D16" s="1" t="s">
        <v>230</v>
      </c>
      <c r="E16" s="1" t="s">
        <v>229</v>
      </c>
      <c r="F16" s="1">
        <v>11620</v>
      </c>
      <c r="G16" s="1">
        <v>230.184</v>
      </c>
      <c r="H16" s="1">
        <v>4154</v>
      </c>
      <c r="I16" s="1">
        <v>4758</v>
      </c>
      <c r="J16" s="3">
        <f>H16/F16</f>
        <v>0.35748709122203098</v>
      </c>
      <c r="K16" s="1" t="str" cm="1">
        <f t="array" ref="K16">_xlfn.IFS(J16&lt;0.5,"F",J16&lt;0.6,"E",J16&lt;0.7,"D",J16&lt;0.8,"C",J16&lt;0.9,"B",J16&lt;=1,"A")</f>
        <v>F</v>
      </c>
      <c r="M16" s="1" t="str" cm="1">
        <f t="array" ref="M16">_xlfn.IFS(
 $G16&lt;=90.8,"low-income",
 $G16&lt;=100.7,"lower-middle income",
 $G16&lt;=157,"higher-middle income",
 $G16&gt;157,"high-income"
)</f>
        <v>high-income</v>
      </c>
      <c r="Q16" s="1">
        <f>F16</f>
        <v>11620</v>
      </c>
      <c r="R16" s="1">
        <f>G16</f>
        <v>230.184</v>
      </c>
      <c r="S16" s="1" t="str">
        <f>K16</f>
        <v>F</v>
      </c>
    </row>
    <row r="17" spans="1:19" x14ac:dyDescent="0.45">
      <c r="A17" s="1" t="s">
        <v>243</v>
      </c>
      <c r="B17" s="1" t="s">
        <v>242</v>
      </c>
      <c r="C17" s="1" t="s">
        <v>5</v>
      </c>
      <c r="D17" s="1" t="s">
        <v>230</v>
      </c>
      <c r="E17" s="1" t="s">
        <v>229</v>
      </c>
      <c r="F17" s="1">
        <v>20925</v>
      </c>
      <c r="G17" s="1">
        <v>203.89474999999999</v>
      </c>
      <c r="H17" s="1">
        <v>14671</v>
      </c>
      <c r="I17" s="1">
        <v>15277</v>
      </c>
      <c r="J17" s="3">
        <f>H17/F17</f>
        <v>0.70112305854241341</v>
      </c>
      <c r="K17" s="1" t="str" cm="1">
        <f t="array" ref="K17">_xlfn.IFS(J17&lt;0.5,"F",J17&lt;0.6,"E",J17&lt;0.7,"D",J17&lt;0.8,"C",J17&lt;0.9,"B",J17&lt;=1,"A")</f>
        <v>C</v>
      </c>
      <c r="M17" s="1" t="str" cm="1">
        <f t="array" ref="M17">_xlfn.IFS(
 $G17&lt;=90.8,"low-income",
 $G17&lt;=100.7,"lower-middle income",
 $G17&lt;=157,"higher-middle income",
 $G17&gt;157,"high-income"
)</f>
        <v>high-income</v>
      </c>
      <c r="Q17" s="1">
        <f>F17</f>
        <v>20925</v>
      </c>
      <c r="R17" s="1">
        <f>G17</f>
        <v>203.89474999999999</v>
      </c>
      <c r="S17" s="1" t="str">
        <f>K17</f>
        <v>C</v>
      </c>
    </row>
    <row r="18" spans="1:19" x14ac:dyDescent="0.45">
      <c r="A18" s="1" t="s">
        <v>241</v>
      </c>
      <c r="B18" s="1" t="s">
        <v>240</v>
      </c>
      <c r="C18" s="1" t="s">
        <v>94</v>
      </c>
      <c r="D18" s="1" t="s">
        <v>230</v>
      </c>
      <c r="E18" s="1" t="s">
        <v>229</v>
      </c>
      <c r="F18" s="1">
        <v>6363</v>
      </c>
      <c r="G18" s="1">
        <v>173.56897142857139</v>
      </c>
      <c r="H18" s="1">
        <v>6354</v>
      </c>
      <c r="I18" s="1">
        <v>6363</v>
      </c>
      <c r="J18" s="3">
        <f>H18/F18</f>
        <v>0.99858557284299854</v>
      </c>
      <c r="K18" s="1" t="str" cm="1">
        <f t="array" ref="K18">_xlfn.IFS(J18&lt;0.5,"F",J18&lt;0.6,"E",J18&lt;0.7,"D",J18&lt;0.8,"C",J18&lt;0.9,"B",J18&lt;=1,"A")</f>
        <v>A</v>
      </c>
      <c r="M18" s="1" t="str" cm="1">
        <f t="array" ref="M18">_xlfn.IFS(
 $G18&lt;=90.8,"low-income",
 $G18&lt;=100.7,"lower-middle income",
 $G18&lt;=157,"higher-middle income",
 $G18&gt;157,"high-income"
)</f>
        <v>high-income</v>
      </c>
      <c r="Q18" s="1">
        <f>F18</f>
        <v>6363</v>
      </c>
      <c r="R18" s="1">
        <f>G18</f>
        <v>173.56897142857139</v>
      </c>
      <c r="S18" s="1" t="str">
        <f>K18</f>
        <v>A</v>
      </c>
    </row>
    <row r="19" spans="1:19" x14ac:dyDescent="0.45">
      <c r="A19" s="1" t="s">
        <v>239</v>
      </c>
      <c r="B19" s="1" t="s">
        <v>238</v>
      </c>
      <c r="C19" s="1" t="s">
        <v>5</v>
      </c>
      <c r="D19" s="1" t="s">
        <v>230</v>
      </c>
      <c r="E19" s="1" t="s">
        <v>229</v>
      </c>
      <c r="F19" s="1">
        <v>11677</v>
      </c>
      <c r="G19" s="1">
        <v>173.56897142857139</v>
      </c>
      <c r="H19" s="1">
        <v>8575</v>
      </c>
      <c r="I19" s="1">
        <v>9628</v>
      </c>
      <c r="J19" s="3">
        <f>H19/F19</f>
        <v>0.73434957608974905</v>
      </c>
      <c r="K19" s="1" t="str" cm="1">
        <f t="array" ref="K19">_xlfn.IFS(J19&lt;0.5,"F",J19&lt;0.6,"E",J19&lt;0.7,"D",J19&lt;0.8,"C",J19&lt;0.9,"B",J19&lt;=1,"A")</f>
        <v>C</v>
      </c>
      <c r="M19" s="1" t="str" cm="1">
        <f t="array" ref="M19">_xlfn.IFS(
 $G19&lt;=90.8,"low-income",
 $G19&lt;=100.7,"lower-middle income",
 $G19&lt;=157,"higher-middle income",
 $G19&gt;157,"high-income"
)</f>
        <v>high-income</v>
      </c>
      <c r="Q19" s="1">
        <f>F19</f>
        <v>11677</v>
      </c>
      <c r="R19" s="1">
        <f>G19</f>
        <v>173.56897142857139</v>
      </c>
      <c r="S19" s="1" t="str">
        <f>K19</f>
        <v>C</v>
      </c>
    </row>
    <row r="20" spans="1:19" x14ac:dyDescent="0.45">
      <c r="A20" s="1" t="s">
        <v>237</v>
      </c>
      <c r="B20" s="1" t="s">
        <v>236</v>
      </c>
      <c r="C20" s="1" t="s">
        <v>94</v>
      </c>
      <c r="D20" s="1" t="s">
        <v>230</v>
      </c>
      <c r="E20" s="1" t="s">
        <v>229</v>
      </c>
      <c r="F20" s="1">
        <v>14479</v>
      </c>
      <c r="G20" s="1">
        <v>43.446750000000002</v>
      </c>
      <c r="H20" s="1">
        <v>13152</v>
      </c>
      <c r="I20" s="1">
        <v>14048</v>
      </c>
      <c r="J20" s="3">
        <f>H20/F20</f>
        <v>0.90835002417294008</v>
      </c>
      <c r="K20" s="1" t="str" cm="1">
        <f t="array" ref="K20">_xlfn.IFS(J20&lt;0.5,"F",J20&lt;0.6,"E",J20&lt;0.7,"D",J20&lt;0.8,"C",J20&lt;0.9,"B",J20&lt;=1,"A")</f>
        <v>A</v>
      </c>
      <c r="M20" s="1" t="str" cm="1">
        <f t="array" ref="M20">_xlfn.IFS(
 $G20&lt;=90.8,"low-income",
 $G20&lt;=100.7,"lower-middle income",
 $G20&lt;=157,"higher-middle income",
 $G20&gt;157,"high-income"
)</f>
        <v>low-income</v>
      </c>
      <c r="Q20" s="1">
        <f>F20</f>
        <v>14479</v>
      </c>
      <c r="R20" s="1">
        <f>G20</f>
        <v>43.446750000000002</v>
      </c>
      <c r="S20" s="1" t="str">
        <f>K20</f>
        <v>A</v>
      </c>
    </row>
    <row r="21" spans="1:19" x14ac:dyDescent="0.45">
      <c r="A21" s="1" t="s">
        <v>235</v>
      </c>
      <c r="B21" s="1" t="s">
        <v>234</v>
      </c>
      <c r="C21" s="1" t="s">
        <v>94</v>
      </c>
      <c r="D21" s="1" t="s">
        <v>230</v>
      </c>
      <c r="E21" s="1" t="s">
        <v>229</v>
      </c>
      <c r="F21" s="1">
        <v>29809</v>
      </c>
      <c r="G21" s="1">
        <v>119.34033333333331</v>
      </c>
      <c r="H21" s="1">
        <v>29809</v>
      </c>
      <c r="I21" s="1">
        <v>29809</v>
      </c>
      <c r="J21" s="3">
        <f>H21/F21</f>
        <v>1</v>
      </c>
      <c r="K21" s="1" t="str" cm="1">
        <f t="array" ref="K21">_xlfn.IFS(J21&lt;0.5,"F",J21&lt;0.6,"E",J21&lt;0.7,"D",J21&lt;0.8,"C",J21&lt;0.9,"B",J21&lt;=1,"A")</f>
        <v>A</v>
      </c>
      <c r="M21" s="1" t="str" cm="1">
        <f t="array" ref="M21">_xlfn.IFS(
 $G21&lt;=90.8,"low-income",
 $G21&lt;=100.7,"lower-middle income",
 $G21&lt;=157,"higher-middle income",
 $G21&gt;157,"high-income"
)</f>
        <v>higher-middle income</v>
      </c>
      <c r="Q21" s="1">
        <f>F21</f>
        <v>29809</v>
      </c>
      <c r="R21" s="1">
        <f>G21</f>
        <v>119.34033333333331</v>
      </c>
      <c r="S21" s="1" t="str">
        <f>K21</f>
        <v>A</v>
      </c>
    </row>
    <row r="22" spans="1:19" x14ac:dyDescent="0.45">
      <c r="A22" s="1" t="s">
        <v>233</v>
      </c>
      <c r="B22" s="1" t="s">
        <v>147</v>
      </c>
      <c r="C22" s="1" t="s">
        <v>94</v>
      </c>
      <c r="D22" s="1" t="s">
        <v>230</v>
      </c>
      <c r="E22" s="1" t="s">
        <v>229</v>
      </c>
      <c r="F22" s="1">
        <v>23787</v>
      </c>
      <c r="G22" s="1">
        <v>411.40899999999999</v>
      </c>
      <c r="H22" s="1">
        <v>23782</v>
      </c>
      <c r="I22" s="1">
        <v>23787</v>
      </c>
      <c r="J22" s="3">
        <f>H22/F22</f>
        <v>0.99978980115188965</v>
      </c>
      <c r="K22" s="1" t="str" cm="1">
        <f t="array" ref="K22">_xlfn.IFS(J22&lt;0.5,"F",J22&lt;0.6,"E",J22&lt;0.7,"D",J22&lt;0.8,"C",J22&lt;0.9,"B",J22&lt;=1,"A")</f>
        <v>A</v>
      </c>
      <c r="M22" s="1" t="str" cm="1">
        <f t="array" ref="M22">_xlfn.IFS(
 $G22&lt;=90.8,"low-income",
 $G22&lt;=100.7,"lower-middle income",
 $G22&lt;=157,"higher-middle income",
 $G22&gt;157,"high-income"
)</f>
        <v>high-income</v>
      </c>
      <c r="Q22" s="1">
        <f>F22</f>
        <v>23787</v>
      </c>
      <c r="R22" s="1">
        <f>G22</f>
        <v>411.40899999999999</v>
      </c>
      <c r="S22" s="1" t="str">
        <f>K22</f>
        <v>A</v>
      </c>
    </row>
    <row r="23" spans="1:19" x14ac:dyDescent="0.45">
      <c r="A23" s="1" t="s">
        <v>232</v>
      </c>
      <c r="B23" s="1" t="s">
        <v>231</v>
      </c>
      <c r="C23" s="1" t="s">
        <v>94</v>
      </c>
      <c r="D23" s="1" t="s">
        <v>230</v>
      </c>
      <c r="E23" s="1" t="s">
        <v>229</v>
      </c>
      <c r="F23" s="1">
        <v>14015</v>
      </c>
      <c r="G23" s="1">
        <v>210.18700000000001</v>
      </c>
      <c r="H23" s="1">
        <v>12911</v>
      </c>
      <c r="I23" s="1">
        <v>13329</v>
      </c>
      <c r="J23" s="3">
        <f>H23/F23</f>
        <v>0.92122725651088122</v>
      </c>
      <c r="K23" s="1" t="str" cm="1">
        <f t="array" ref="K23">_xlfn.IFS(J23&lt;0.5,"F",J23&lt;0.6,"E",J23&lt;0.7,"D",J23&lt;0.8,"C",J23&lt;0.9,"B",J23&lt;=1,"A")</f>
        <v>A</v>
      </c>
      <c r="M23" s="1" t="str" cm="1">
        <f t="array" ref="M23">_xlfn.IFS(
 $G23&lt;=90.8,"low-income",
 $G23&lt;=100.7,"lower-middle income",
 $G23&lt;=157,"higher-middle income",
 $G23&gt;157,"high-income"
)</f>
        <v>high-income</v>
      </c>
      <c r="Q23" s="1">
        <f>F23</f>
        <v>14015</v>
      </c>
      <c r="R23" s="1">
        <f>G23</f>
        <v>210.18700000000001</v>
      </c>
      <c r="S23" s="1" t="str">
        <f>K23</f>
        <v>A</v>
      </c>
    </row>
    <row r="24" spans="1:19" x14ac:dyDescent="0.45">
      <c r="A24" s="1" t="s">
        <v>228</v>
      </c>
      <c r="B24" s="1" t="s">
        <v>227</v>
      </c>
      <c r="C24" s="1" t="s">
        <v>94</v>
      </c>
      <c r="D24" s="1" t="s">
        <v>198</v>
      </c>
      <c r="E24" s="1" t="s">
        <v>197</v>
      </c>
      <c r="F24" s="1">
        <v>10229</v>
      </c>
      <c r="G24" s="1">
        <v>90.783600000000007</v>
      </c>
      <c r="H24" s="1">
        <v>7739</v>
      </c>
      <c r="I24" s="1">
        <v>8038</v>
      </c>
      <c r="J24" s="3">
        <f>H24/F24</f>
        <v>0.75657444520480988</v>
      </c>
      <c r="K24" s="1" t="str" cm="1">
        <f t="array" ref="K24">_xlfn.IFS(J24&lt;0.5,"F",J24&lt;0.6,"E",J24&lt;0.7,"D",J24&lt;0.8,"C",J24&lt;0.9,"B",J24&lt;=1,"A")</f>
        <v>C</v>
      </c>
      <c r="M24" s="1" t="str" cm="1">
        <f t="array" ref="M24">_xlfn.IFS(
 $G24&lt;=90.8,"low-income",
 $G24&lt;=100.7,"lower-middle income",
 $G24&lt;=157,"higher-middle income",
 $G24&gt;157,"high-income"
)</f>
        <v>low-income</v>
      </c>
      <c r="Q24" s="1">
        <f>F24</f>
        <v>10229</v>
      </c>
      <c r="R24" s="1">
        <f>G24</f>
        <v>90.783600000000007</v>
      </c>
      <c r="S24" s="1" t="str">
        <f>K24</f>
        <v>C</v>
      </c>
    </row>
    <row r="25" spans="1:19" x14ac:dyDescent="0.45">
      <c r="A25" s="1" t="s">
        <v>226</v>
      </c>
      <c r="B25" s="1" t="s">
        <v>225</v>
      </c>
      <c r="C25" s="1" t="s">
        <v>5</v>
      </c>
      <c r="D25" s="1" t="s">
        <v>198</v>
      </c>
      <c r="E25" s="1" t="s">
        <v>197</v>
      </c>
      <c r="F25" s="1">
        <v>1768</v>
      </c>
      <c r="G25" s="1">
        <v>90.783600000000007</v>
      </c>
      <c r="H25" s="1">
        <v>0</v>
      </c>
      <c r="I25" s="1">
        <v>0</v>
      </c>
      <c r="J25" s="3">
        <f>H25/F25</f>
        <v>0</v>
      </c>
      <c r="K25" s="1" t="str" cm="1">
        <f t="array" ref="K25">_xlfn.IFS(J25&lt;0.5,"F",J25&lt;0.6,"E",J25&lt;0.7,"D",J25&lt;0.8,"C",J25&lt;0.9,"B",J25&lt;=1,"A")</f>
        <v>F</v>
      </c>
      <c r="M25" s="1" t="str" cm="1">
        <f t="array" ref="M25">_xlfn.IFS(
 $G25&lt;=90.8,"low-income",
 $G25&lt;=100.7,"lower-middle income",
 $G25&lt;=157,"higher-middle income",
 $G25&gt;157,"high-income"
)</f>
        <v>low-income</v>
      </c>
      <c r="Q25" s="1">
        <f>F25</f>
        <v>1768</v>
      </c>
      <c r="R25" s="1">
        <f>G25</f>
        <v>90.783600000000007</v>
      </c>
      <c r="S25" s="1" t="str">
        <f>K25</f>
        <v>F</v>
      </c>
    </row>
    <row r="26" spans="1:19" x14ac:dyDescent="0.45">
      <c r="A26" s="1" t="s">
        <v>224</v>
      </c>
      <c r="B26" s="1" t="s">
        <v>223</v>
      </c>
      <c r="C26" s="1" t="s">
        <v>5</v>
      </c>
      <c r="D26" s="1" t="s">
        <v>198</v>
      </c>
      <c r="E26" s="1" t="s">
        <v>197</v>
      </c>
      <c r="F26" s="1">
        <v>1332</v>
      </c>
      <c r="G26" s="1">
        <v>90.783600000000007</v>
      </c>
      <c r="H26" s="1">
        <v>0</v>
      </c>
      <c r="I26" s="1">
        <v>0</v>
      </c>
      <c r="J26" s="3">
        <f>H26/F26</f>
        <v>0</v>
      </c>
      <c r="K26" s="1" t="str" cm="1">
        <f t="array" ref="K26">_xlfn.IFS(J26&lt;0.5,"F",J26&lt;0.6,"E",J26&lt;0.7,"D",J26&lt;0.8,"C",J26&lt;0.9,"B",J26&lt;=1,"A")</f>
        <v>F</v>
      </c>
      <c r="M26" s="1" t="str" cm="1">
        <f t="array" ref="M26">_xlfn.IFS(
 $G26&lt;=90.8,"low-income",
 $G26&lt;=100.7,"lower-middle income",
 $G26&lt;=157,"higher-middle income",
 $G26&gt;157,"high-income"
)</f>
        <v>low-income</v>
      </c>
      <c r="Q26" s="1">
        <f>F26</f>
        <v>1332</v>
      </c>
      <c r="R26" s="1">
        <f>G26</f>
        <v>90.783600000000007</v>
      </c>
      <c r="S26" s="1" t="str">
        <f>K26</f>
        <v>F</v>
      </c>
    </row>
    <row r="27" spans="1:19" x14ac:dyDescent="0.45">
      <c r="A27" s="1" t="s">
        <v>222</v>
      </c>
      <c r="B27" s="1" t="s">
        <v>221</v>
      </c>
      <c r="C27" s="1" t="s">
        <v>94</v>
      </c>
      <c r="D27" s="1" t="s">
        <v>198</v>
      </c>
      <c r="E27" s="1" t="s">
        <v>197</v>
      </c>
      <c r="F27" s="1">
        <v>13810</v>
      </c>
      <c r="G27" s="1">
        <v>90.783600000000007</v>
      </c>
      <c r="H27" s="1">
        <v>891</v>
      </c>
      <c r="I27" s="1">
        <v>891</v>
      </c>
      <c r="J27" s="3">
        <f>H27/F27</f>
        <v>6.4518464880521362E-2</v>
      </c>
      <c r="K27" s="1" t="str" cm="1">
        <f t="array" ref="K27">_xlfn.IFS(J27&lt;0.5,"F",J27&lt;0.6,"E",J27&lt;0.7,"D",J27&lt;0.8,"C",J27&lt;0.9,"B",J27&lt;=1,"A")</f>
        <v>F</v>
      </c>
      <c r="M27" s="1" t="str" cm="1">
        <f t="array" ref="M27">_xlfn.IFS(
 $G27&lt;=90.8,"low-income",
 $G27&lt;=100.7,"lower-middle income",
 $G27&lt;=157,"higher-middle income",
 $G27&gt;157,"high-income"
)</f>
        <v>low-income</v>
      </c>
      <c r="Q27" s="1">
        <f>F27</f>
        <v>13810</v>
      </c>
      <c r="R27" s="1">
        <f>G27</f>
        <v>90.783600000000007</v>
      </c>
      <c r="S27" s="1" t="str">
        <f>K27</f>
        <v>F</v>
      </c>
    </row>
    <row r="28" spans="1:19" x14ac:dyDescent="0.45">
      <c r="A28" s="1" t="s">
        <v>220</v>
      </c>
      <c r="B28" s="1" t="s">
        <v>219</v>
      </c>
      <c r="C28" s="1" t="s">
        <v>94</v>
      </c>
      <c r="D28" s="1" t="s">
        <v>198</v>
      </c>
      <c r="E28" s="1" t="s">
        <v>197</v>
      </c>
      <c r="F28" s="1">
        <v>8542</v>
      </c>
      <c r="G28" s="1">
        <v>90.783600000000007</v>
      </c>
      <c r="H28" s="1">
        <v>5680</v>
      </c>
      <c r="I28" s="1">
        <v>5665</v>
      </c>
      <c r="J28" s="3">
        <f>H28/F28</f>
        <v>0.66494966050105364</v>
      </c>
      <c r="K28" s="1" t="str" cm="1">
        <f t="array" ref="K28">_xlfn.IFS(J28&lt;0.5,"F",J28&lt;0.6,"E",J28&lt;0.7,"D",J28&lt;0.8,"C",J28&lt;0.9,"B",J28&lt;=1,"A")</f>
        <v>D</v>
      </c>
      <c r="M28" s="1" t="str" cm="1">
        <f t="array" ref="M28">_xlfn.IFS(
 $G28&lt;=90.8,"low-income",
 $G28&lt;=100.7,"lower-middle income",
 $G28&lt;=157,"higher-middle income",
 $G28&gt;157,"high-income"
)</f>
        <v>low-income</v>
      </c>
      <c r="Q28" s="1">
        <f>F28</f>
        <v>8542</v>
      </c>
      <c r="R28" s="1">
        <f>G28</f>
        <v>90.783600000000007</v>
      </c>
      <c r="S28" s="1" t="str">
        <f>K28</f>
        <v>D</v>
      </c>
    </row>
    <row r="29" spans="1:19" x14ac:dyDescent="0.45">
      <c r="A29" s="1" t="s">
        <v>218</v>
      </c>
      <c r="B29" s="1" t="s">
        <v>217</v>
      </c>
      <c r="C29" s="1" t="s">
        <v>94</v>
      </c>
      <c r="D29" s="1" t="s">
        <v>198</v>
      </c>
      <c r="E29" s="1" t="s">
        <v>197</v>
      </c>
      <c r="F29" s="1">
        <v>10368</v>
      </c>
      <c r="G29" s="1">
        <v>90.783600000000007</v>
      </c>
      <c r="H29" s="1">
        <v>8406</v>
      </c>
      <c r="I29" s="1">
        <v>8406</v>
      </c>
      <c r="J29" s="3">
        <f>H29/F29</f>
        <v>0.81076388888888884</v>
      </c>
      <c r="K29" s="1" t="str" cm="1">
        <f t="array" ref="K29">_xlfn.IFS(J29&lt;0.5,"F",J29&lt;0.6,"E",J29&lt;0.7,"D",J29&lt;0.8,"C",J29&lt;0.9,"B",J29&lt;=1,"A")</f>
        <v>B</v>
      </c>
      <c r="M29" s="1" t="str" cm="1">
        <f t="array" ref="M29">_xlfn.IFS(
 $G29&lt;=90.8,"low-income",
 $G29&lt;=100.7,"lower-middle income",
 $G29&lt;=157,"higher-middle income",
 $G29&gt;157,"high-income"
)</f>
        <v>low-income</v>
      </c>
      <c r="Q29" s="1">
        <f>F29</f>
        <v>10368</v>
      </c>
      <c r="R29" s="1">
        <f>G29</f>
        <v>90.783600000000007</v>
      </c>
      <c r="S29" s="1" t="str">
        <f>K29</f>
        <v>B</v>
      </c>
    </row>
    <row r="30" spans="1:19" x14ac:dyDescent="0.45">
      <c r="A30" s="1" t="s">
        <v>216</v>
      </c>
      <c r="B30" s="1" t="s">
        <v>215</v>
      </c>
      <c r="C30" s="1" t="s">
        <v>94</v>
      </c>
      <c r="D30" s="1" t="s">
        <v>198</v>
      </c>
      <c r="E30" s="1" t="s">
        <v>197</v>
      </c>
      <c r="F30" s="1">
        <v>24882</v>
      </c>
      <c r="G30" s="1">
        <v>90.783600000000007</v>
      </c>
      <c r="H30" s="1">
        <v>8652</v>
      </c>
      <c r="I30" s="1">
        <v>10074</v>
      </c>
      <c r="J30" s="3">
        <f>H30/F30</f>
        <v>0.34772124427296841</v>
      </c>
      <c r="K30" s="1" t="str" cm="1">
        <f t="array" ref="K30">_xlfn.IFS(J30&lt;0.5,"F",J30&lt;0.6,"E",J30&lt;0.7,"D",J30&lt;0.8,"C",J30&lt;0.9,"B",J30&lt;=1,"A")</f>
        <v>F</v>
      </c>
      <c r="M30" s="1" t="str" cm="1">
        <f t="array" ref="M30">_xlfn.IFS(
 $G30&lt;=90.8,"low-income",
 $G30&lt;=100.7,"lower-middle income",
 $G30&lt;=157,"higher-middle income",
 $G30&gt;157,"high-income"
)</f>
        <v>low-income</v>
      </c>
      <c r="Q30" s="1">
        <f>F30</f>
        <v>24882</v>
      </c>
      <c r="R30" s="1">
        <f>G30</f>
        <v>90.783600000000007</v>
      </c>
      <c r="S30" s="1" t="str">
        <f>K30</f>
        <v>F</v>
      </c>
    </row>
    <row r="31" spans="1:19" x14ac:dyDescent="0.45">
      <c r="A31" s="1" t="s">
        <v>214</v>
      </c>
      <c r="B31" s="1" t="s">
        <v>213</v>
      </c>
      <c r="C31" s="1" t="s">
        <v>94</v>
      </c>
      <c r="D31" s="1" t="s">
        <v>198</v>
      </c>
      <c r="E31" s="1" t="s">
        <v>197</v>
      </c>
      <c r="F31" s="1">
        <v>11904</v>
      </c>
      <c r="G31" s="1">
        <v>90.783600000000007</v>
      </c>
      <c r="H31" s="1">
        <v>9491</v>
      </c>
      <c r="I31" s="1">
        <v>10399</v>
      </c>
      <c r="J31" s="3">
        <f>H31/F31</f>
        <v>0.79729502688172038</v>
      </c>
      <c r="K31" s="1" t="str" cm="1">
        <f t="array" ref="K31">_xlfn.IFS(J31&lt;0.5,"F",J31&lt;0.6,"E",J31&lt;0.7,"D",J31&lt;0.8,"C",J31&lt;0.9,"B",J31&lt;=1,"A")</f>
        <v>C</v>
      </c>
      <c r="M31" s="1" t="str" cm="1">
        <f t="array" ref="M31">_xlfn.IFS(
 $G31&lt;=90.8,"low-income",
 $G31&lt;=100.7,"lower-middle income",
 $G31&lt;=157,"higher-middle income",
 $G31&gt;157,"high-income"
)</f>
        <v>low-income</v>
      </c>
      <c r="Q31" s="1">
        <f>F31</f>
        <v>11904</v>
      </c>
      <c r="R31" s="1">
        <f>G31</f>
        <v>90.783600000000007</v>
      </c>
      <c r="S31" s="1" t="str">
        <f>K31</f>
        <v>C</v>
      </c>
    </row>
    <row r="32" spans="1:19" x14ac:dyDescent="0.45">
      <c r="A32" s="1" t="s">
        <v>212</v>
      </c>
      <c r="B32" s="1" t="s">
        <v>211</v>
      </c>
      <c r="C32" s="1" t="s">
        <v>94</v>
      </c>
      <c r="D32" s="1" t="s">
        <v>198</v>
      </c>
      <c r="E32" s="1" t="s">
        <v>197</v>
      </c>
      <c r="F32" s="1">
        <v>11514</v>
      </c>
      <c r="G32" s="1">
        <v>70.394499999999994</v>
      </c>
      <c r="H32" s="1">
        <v>7419</v>
      </c>
      <c r="I32" s="1">
        <v>7970</v>
      </c>
      <c r="J32" s="3">
        <f>H32/F32</f>
        <v>0.64434601354872334</v>
      </c>
      <c r="K32" s="1" t="str" cm="1">
        <f t="array" ref="K32">_xlfn.IFS(J32&lt;0.5,"F",J32&lt;0.6,"E",J32&lt;0.7,"D",J32&lt;0.8,"C",J32&lt;0.9,"B",J32&lt;=1,"A")</f>
        <v>D</v>
      </c>
      <c r="M32" s="1" t="str" cm="1">
        <f t="array" ref="M32">_xlfn.IFS(
 $G32&lt;=90.8,"low-income",
 $G32&lt;=100.7,"lower-middle income",
 $G32&lt;=157,"higher-middle income",
 $G32&gt;157,"high-income"
)</f>
        <v>low-income</v>
      </c>
      <c r="Q32" s="1">
        <f>F32</f>
        <v>11514</v>
      </c>
      <c r="R32" s="1">
        <f>G32</f>
        <v>70.394499999999994</v>
      </c>
      <c r="S32" s="1" t="str">
        <f>K32</f>
        <v>D</v>
      </c>
    </row>
    <row r="33" spans="1:19" x14ac:dyDescent="0.45">
      <c r="A33" s="1" t="s">
        <v>210</v>
      </c>
      <c r="B33" s="1" t="s">
        <v>209</v>
      </c>
      <c r="C33" s="1" t="s">
        <v>94</v>
      </c>
      <c r="D33" s="1" t="s">
        <v>198</v>
      </c>
      <c r="E33" s="1" t="s">
        <v>197</v>
      </c>
      <c r="F33" s="1">
        <v>7452</v>
      </c>
      <c r="G33" s="1">
        <v>90.783600000000007</v>
      </c>
      <c r="H33" s="1">
        <v>5987</v>
      </c>
      <c r="I33" s="1">
        <v>6105</v>
      </c>
      <c r="J33" s="3">
        <f>H33/F33</f>
        <v>0.80340848094471284</v>
      </c>
      <c r="K33" s="1" t="str" cm="1">
        <f t="array" ref="K33">_xlfn.IFS(J33&lt;0.5,"F",J33&lt;0.6,"E",J33&lt;0.7,"D",J33&lt;0.8,"C",J33&lt;0.9,"B",J33&lt;=1,"A")</f>
        <v>B</v>
      </c>
      <c r="M33" s="1" t="str" cm="1">
        <f t="array" ref="M33">_xlfn.IFS(
 $G33&lt;=90.8,"low-income",
 $G33&lt;=100.7,"lower-middle income",
 $G33&lt;=157,"higher-middle income",
 $G33&gt;157,"high-income"
)</f>
        <v>low-income</v>
      </c>
      <c r="Q33" s="1">
        <f>F33</f>
        <v>7452</v>
      </c>
      <c r="R33" s="1">
        <f>G33</f>
        <v>90.783600000000007</v>
      </c>
      <c r="S33" s="1" t="str">
        <f>K33</f>
        <v>B</v>
      </c>
    </row>
    <row r="34" spans="1:19" x14ac:dyDescent="0.45">
      <c r="A34" s="1" t="s">
        <v>208</v>
      </c>
      <c r="B34" s="1" t="s">
        <v>207</v>
      </c>
      <c r="C34" s="1" t="s">
        <v>5</v>
      </c>
      <c r="D34" s="1" t="s">
        <v>198</v>
      </c>
      <c r="E34" s="1" t="s">
        <v>197</v>
      </c>
      <c r="F34" s="1">
        <v>9808</v>
      </c>
      <c r="G34" s="1">
        <v>91.737666666666669</v>
      </c>
      <c r="H34" s="1">
        <v>4141</v>
      </c>
      <c r="I34" s="1">
        <v>4487</v>
      </c>
      <c r="J34" s="3">
        <f>H34/F34</f>
        <v>0.42220636215334423</v>
      </c>
      <c r="K34" s="1" t="str" cm="1">
        <f t="array" ref="K34">_xlfn.IFS(J34&lt;0.5,"F",J34&lt;0.6,"E",J34&lt;0.7,"D",J34&lt;0.8,"C",J34&lt;0.9,"B",J34&lt;=1,"A")</f>
        <v>F</v>
      </c>
      <c r="M34" s="1" t="str" cm="1">
        <f t="array" ref="M34">_xlfn.IFS(
 $G34&lt;=90.8,"low-income",
 $G34&lt;=100.7,"lower-middle income",
 $G34&lt;=157,"higher-middle income",
 $G34&gt;157,"high-income"
)</f>
        <v>lower-middle income</v>
      </c>
      <c r="Q34" s="1">
        <f>F34</f>
        <v>9808</v>
      </c>
      <c r="R34" s="1">
        <f>G34</f>
        <v>91.737666666666669</v>
      </c>
      <c r="S34" s="1" t="str">
        <f>K34</f>
        <v>F</v>
      </c>
    </row>
    <row r="35" spans="1:19" x14ac:dyDescent="0.45">
      <c r="A35" s="1" t="s">
        <v>206</v>
      </c>
      <c r="B35" s="1" t="s">
        <v>205</v>
      </c>
      <c r="C35" s="1" t="s">
        <v>5</v>
      </c>
      <c r="D35" s="1" t="s">
        <v>198</v>
      </c>
      <c r="E35" s="1" t="s">
        <v>197</v>
      </c>
      <c r="F35" s="1">
        <v>4799</v>
      </c>
      <c r="G35" s="1">
        <v>90.783600000000007</v>
      </c>
      <c r="H35" s="1">
        <v>0</v>
      </c>
      <c r="I35" s="1">
        <v>0</v>
      </c>
      <c r="J35" s="3">
        <f>H35/F35</f>
        <v>0</v>
      </c>
      <c r="K35" s="1" t="str" cm="1">
        <f t="array" ref="K35">_xlfn.IFS(J35&lt;0.5,"F",J35&lt;0.6,"E",J35&lt;0.7,"D",J35&lt;0.8,"C",J35&lt;0.9,"B",J35&lt;=1,"A")</f>
        <v>F</v>
      </c>
      <c r="M35" s="1" t="str" cm="1">
        <f t="array" ref="M35">_xlfn.IFS(
 $G35&lt;=90.8,"low-income",
 $G35&lt;=100.7,"lower-middle income",
 $G35&lt;=157,"higher-middle income",
 $G35&gt;157,"high-income"
)</f>
        <v>low-income</v>
      </c>
      <c r="Q35" s="1">
        <f>F35</f>
        <v>4799</v>
      </c>
      <c r="R35" s="1">
        <f>G35</f>
        <v>90.783600000000007</v>
      </c>
      <c r="S35" s="1" t="str">
        <f>K35</f>
        <v>F</v>
      </c>
    </row>
    <row r="36" spans="1:19" x14ac:dyDescent="0.45">
      <c r="A36" s="1" t="s">
        <v>204</v>
      </c>
      <c r="B36" s="1" t="s">
        <v>203</v>
      </c>
      <c r="C36" s="1" t="s">
        <v>5</v>
      </c>
      <c r="D36" s="1" t="s">
        <v>198</v>
      </c>
      <c r="E36" s="1" t="s">
        <v>197</v>
      </c>
      <c r="F36" s="1">
        <v>7459</v>
      </c>
      <c r="G36" s="1">
        <v>90.783600000000007</v>
      </c>
      <c r="H36" s="1">
        <v>0</v>
      </c>
      <c r="I36" s="1">
        <v>0</v>
      </c>
      <c r="J36" s="3">
        <f>H36/F36</f>
        <v>0</v>
      </c>
      <c r="K36" s="1" t="str" cm="1">
        <f t="array" ref="K36">_xlfn.IFS(J36&lt;0.5,"F",J36&lt;0.6,"E",J36&lt;0.7,"D",J36&lt;0.8,"C",J36&lt;0.9,"B",J36&lt;=1,"A")</f>
        <v>F</v>
      </c>
      <c r="M36" s="1" t="str" cm="1">
        <f t="array" ref="M36">_xlfn.IFS(
 $G36&lt;=90.8,"low-income",
 $G36&lt;=100.7,"lower-middle income",
 $G36&lt;=157,"higher-middle income",
 $G36&gt;157,"high-income"
)</f>
        <v>low-income</v>
      </c>
      <c r="Q36" s="1">
        <f>F36</f>
        <v>7459</v>
      </c>
      <c r="R36" s="1">
        <f>G36</f>
        <v>90.783600000000007</v>
      </c>
      <c r="S36" s="1" t="str">
        <f>K36</f>
        <v>F</v>
      </c>
    </row>
    <row r="37" spans="1:19" x14ac:dyDescent="0.45">
      <c r="A37" s="1" t="s">
        <v>202</v>
      </c>
      <c r="B37" s="1" t="s">
        <v>201</v>
      </c>
      <c r="C37" s="1" t="s">
        <v>5</v>
      </c>
      <c r="D37" s="1" t="s">
        <v>198</v>
      </c>
      <c r="E37" s="1" t="s">
        <v>197</v>
      </c>
      <c r="F37" s="1">
        <v>1964</v>
      </c>
      <c r="G37" s="1">
        <v>90.783600000000007</v>
      </c>
      <c r="H37" s="1">
        <v>0</v>
      </c>
      <c r="I37" s="1">
        <v>0</v>
      </c>
      <c r="J37" s="3">
        <f>H37/F37</f>
        <v>0</v>
      </c>
      <c r="K37" s="1" t="str" cm="1">
        <f t="array" ref="K37">_xlfn.IFS(J37&lt;0.5,"F",J37&lt;0.6,"E",J37&lt;0.7,"D",J37&lt;0.8,"C",J37&lt;0.9,"B",J37&lt;=1,"A")</f>
        <v>F</v>
      </c>
      <c r="M37" s="1" t="str" cm="1">
        <f t="array" ref="M37">_xlfn.IFS(
 $G37&lt;=90.8,"low-income",
 $G37&lt;=100.7,"lower-middle income",
 $G37&lt;=157,"higher-middle income",
 $G37&gt;157,"high-income"
)</f>
        <v>low-income</v>
      </c>
      <c r="Q37" s="1">
        <f>F37</f>
        <v>1964</v>
      </c>
      <c r="R37" s="1">
        <f>G37</f>
        <v>90.783600000000007</v>
      </c>
      <c r="S37" s="1" t="str">
        <f>K37</f>
        <v>F</v>
      </c>
    </row>
    <row r="38" spans="1:19" x14ac:dyDescent="0.45">
      <c r="A38" s="1" t="s">
        <v>200</v>
      </c>
      <c r="B38" s="1" t="s">
        <v>199</v>
      </c>
      <c r="C38" s="1" t="s">
        <v>94</v>
      </c>
      <c r="D38" s="1" t="s">
        <v>198</v>
      </c>
      <c r="E38" s="1" t="s">
        <v>197</v>
      </c>
      <c r="F38" s="1">
        <v>12947</v>
      </c>
      <c r="G38" s="1">
        <v>117.015</v>
      </c>
      <c r="H38" s="1">
        <v>7656</v>
      </c>
      <c r="I38" s="1">
        <v>7704</v>
      </c>
      <c r="J38" s="3">
        <f>H38/F38</f>
        <v>0.59133389974511474</v>
      </c>
      <c r="K38" s="1" t="str" cm="1">
        <f t="array" ref="K38">_xlfn.IFS(J38&lt;0.5,"F",J38&lt;0.6,"E",J38&lt;0.7,"D",J38&lt;0.8,"C",J38&lt;0.9,"B",J38&lt;=1,"A")</f>
        <v>E</v>
      </c>
      <c r="M38" s="1" t="str" cm="1">
        <f t="array" ref="M38">_xlfn.IFS(
 $G38&lt;=90.8,"low-income",
 $G38&lt;=100.7,"lower-middle income",
 $G38&lt;=157,"higher-middle income",
 $G38&gt;157,"high-income"
)</f>
        <v>higher-middle income</v>
      </c>
      <c r="Q38" s="1">
        <f>F38</f>
        <v>12947</v>
      </c>
      <c r="R38" s="1">
        <f>G38</f>
        <v>117.015</v>
      </c>
      <c r="S38" s="1" t="str">
        <f>K38</f>
        <v>E</v>
      </c>
    </row>
    <row r="39" spans="1:19" x14ac:dyDescent="0.45">
      <c r="A39" s="1" t="s">
        <v>196</v>
      </c>
      <c r="B39" s="1" t="s">
        <v>195</v>
      </c>
      <c r="C39" s="1" t="s">
        <v>5</v>
      </c>
      <c r="D39" s="1" t="s">
        <v>168</v>
      </c>
      <c r="E39" s="1" t="s">
        <v>167</v>
      </c>
      <c r="F39" s="1">
        <v>5206</v>
      </c>
      <c r="G39" s="1">
        <v>147.85006250000001</v>
      </c>
      <c r="H39" s="1">
        <v>0</v>
      </c>
      <c r="I39" s="1">
        <v>0</v>
      </c>
      <c r="J39" s="3">
        <f>H39/F39</f>
        <v>0</v>
      </c>
      <c r="K39" s="1" t="str" cm="1">
        <f t="array" ref="K39">_xlfn.IFS(J39&lt;0.5,"F",J39&lt;0.6,"E",J39&lt;0.7,"D",J39&lt;0.8,"C",J39&lt;0.9,"B",J39&lt;=1,"A")</f>
        <v>F</v>
      </c>
      <c r="M39" s="1" t="str" cm="1">
        <f t="array" ref="M39">_xlfn.IFS(
 $G39&lt;=90.8,"low-income",
 $G39&lt;=100.7,"lower-middle income",
 $G39&lt;=157,"higher-middle income",
 $G39&gt;157,"high-income"
)</f>
        <v>higher-middle income</v>
      </c>
      <c r="Q39" s="1">
        <f>F39</f>
        <v>5206</v>
      </c>
      <c r="R39" s="1">
        <f>G39</f>
        <v>147.85006250000001</v>
      </c>
      <c r="S39" s="1" t="str">
        <f>K39</f>
        <v>F</v>
      </c>
    </row>
    <row r="40" spans="1:19" x14ac:dyDescent="0.45">
      <c r="A40" s="1" t="s">
        <v>194</v>
      </c>
      <c r="B40" s="1" t="s">
        <v>193</v>
      </c>
      <c r="C40" s="1" t="s">
        <v>5</v>
      </c>
      <c r="D40" s="1" t="s">
        <v>168</v>
      </c>
      <c r="E40" s="1" t="s">
        <v>167</v>
      </c>
      <c r="F40" s="1">
        <v>5027</v>
      </c>
      <c r="G40" s="1">
        <v>147.85006250000001</v>
      </c>
      <c r="H40" s="1">
        <v>3572</v>
      </c>
      <c r="I40" s="1">
        <v>3572</v>
      </c>
      <c r="J40" s="3">
        <f>H40/F40</f>
        <v>0.71056296001591401</v>
      </c>
      <c r="K40" s="1" t="str" cm="1">
        <f t="array" ref="K40">_xlfn.IFS(J40&lt;0.5,"F",J40&lt;0.6,"E",J40&lt;0.7,"D",J40&lt;0.8,"C",J40&lt;0.9,"B",J40&lt;=1,"A")</f>
        <v>C</v>
      </c>
      <c r="M40" s="1" t="str" cm="1">
        <f t="array" ref="M40">_xlfn.IFS(
 $G40&lt;=90.8,"low-income",
 $G40&lt;=100.7,"lower-middle income",
 $G40&lt;=157,"higher-middle income",
 $G40&gt;157,"high-income"
)</f>
        <v>higher-middle income</v>
      </c>
      <c r="Q40" s="1">
        <f>F40</f>
        <v>5027</v>
      </c>
      <c r="R40" s="1">
        <f>G40</f>
        <v>147.85006250000001</v>
      </c>
      <c r="S40" s="1" t="str">
        <f>K40</f>
        <v>C</v>
      </c>
    </row>
    <row r="41" spans="1:19" x14ac:dyDescent="0.45">
      <c r="A41" s="1" t="s">
        <v>192</v>
      </c>
      <c r="B41" s="1" t="s">
        <v>191</v>
      </c>
      <c r="C41" s="1" t="s">
        <v>2</v>
      </c>
      <c r="D41" s="1" t="s">
        <v>168</v>
      </c>
      <c r="E41" s="1" t="s">
        <v>167</v>
      </c>
      <c r="F41" s="1">
        <v>18118</v>
      </c>
      <c r="G41" s="1">
        <v>113.47324999999999</v>
      </c>
      <c r="H41" s="1">
        <v>9980</v>
      </c>
      <c r="I41" s="1">
        <v>11131</v>
      </c>
      <c r="J41" s="3">
        <f>H41/F41</f>
        <v>0.55083342532288337</v>
      </c>
      <c r="K41" s="1" t="str" cm="1">
        <f t="array" ref="K41">_xlfn.IFS(J41&lt;0.5,"F",J41&lt;0.6,"E",J41&lt;0.7,"D",J41&lt;0.8,"C",J41&lt;0.9,"B",J41&lt;=1,"A")</f>
        <v>E</v>
      </c>
      <c r="M41" s="1" t="str" cm="1">
        <f t="array" ref="M41">_xlfn.IFS(
 $G41&lt;=90.8,"low-income",
 $G41&lt;=100.7,"lower-middle income",
 $G41&lt;=157,"higher-middle income",
 $G41&gt;157,"high-income"
)</f>
        <v>higher-middle income</v>
      </c>
      <c r="Q41" s="1">
        <f>F41</f>
        <v>18118</v>
      </c>
      <c r="R41" s="1">
        <f>G41</f>
        <v>113.47324999999999</v>
      </c>
      <c r="S41" s="1" t="str">
        <f>K41</f>
        <v>E</v>
      </c>
    </row>
    <row r="42" spans="1:19" x14ac:dyDescent="0.45">
      <c r="A42" s="1" t="s">
        <v>190</v>
      </c>
      <c r="B42" s="1" t="s">
        <v>189</v>
      </c>
      <c r="C42" s="1" t="s">
        <v>5</v>
      </c>
      <c r="D42" s="1" t="s">
        <v>168</v>
      </c>
      <c r="E42" s="1" t="s">
        <v>167</v>
      </c>
      <c r="F42" s="1">
        <v>7521</v>
      </c>
      <c r="G42" s="1">
        <v>182.88499999999999</v>
      </c>
      <c r="H42" s="1">
        <v>2273</v>
      </c>
      <c r="I42" s="1">
        <v>2335</v>
      </c>
      <c r="J42" s="3">
        <f>H42/F42</f>
        <v>0.30222044940832338</v>
      </c>
      <c r="K42" s="1" t="str" cm="1">
        <f t="array" ref="K42">_xlfn.IFS(J42&lt;0.5,"F",J42&lt;0.6,"E",J42&lt;0.7,"D",J42&lt;0.8,"C",J42&lt;0.9,"B",J42&lt;=1,"A")</f>
        <v>F</v>
      </c>
      <c r="M42" s="1" t="str" cm="1">
        <f t="array" ref="M42">_xlfn.IFS(
 $G42&lt;=90.8,"low-income",
 $G42&lt;=100.7,"lower-middle income",
 $G42&lt;=157,"higher-middle income",
 $G42&gt;157,"high-income"
)</f>
        <v>high-income</v>
      </c>
      <c r="Q42" s="1">
        <f>F42</f>
        <v>7521</v>
      </c>
      <c r="R42" s="1">
        <f>G42</f>
        <v>182.88499999999999</v>
      </c>
      <c r="S42" s="1" t="str">
        <f>K42</f>
        <v>F</v>
      </c>
    </row>
    <row r="43" spans="1:19" x14ac:dyDescent="0.45">
      <c r="A43" s="1" t="s">
        <v>188</v>
      </c>
      <c r="B43" s="1" t="s">
        <v>187</v>
      </c>
      <c r="C43" s="1" t="s">
        <v>5</v>
      </c>
      <c r="D43" s="1" t="s">
        <v>168</v>
      </c>
      <c r="E43" s="1" t="s">
        <v>167</v>
      </c>
      <c r="F43" s="1">
        <v>6857</v>
      </c>
      <c r="G43" s="1">
        <v>147.85006250000001</v>
      </c>
      <c r="H43" s="1">
        <v>1105</v>
      </c>
      <c r="I43" s="1">
        <v>1105</v>
      </c>
      <c r="J43" s="3">
        <f>H43/F43</f>
        <v>0.16114919060813768</v>
      </c>
      <c r="K43" s="1" t="str" cm="1">
        <f t="array" ref="K43">_xlfn.IFS(J43&lt;0.5,"F",J43&lt;0.6,"E",J43&lt;0.7,"D",J43&lt;0.8,"C",J43&lt;0.9,"B",J43&lt;=1,"A")</f>
        <v>F</v>
      </c>
      <c r="M43" s="1" t="str" cm="1">
        <f t="array" ref="M43">_xlfn.IFS(
 $G43&lt;=90.8,"low-income",
 $G43&lt;=100.7,"lower-middle income",
 $G43&lt;=157,"higher-middle income",
 $G43&gt;157,"high-income"
)</f>
        <v>higher-middle income</v>
      </c>
      <c r="Q43" s="1">
        <f>F43</f>
        <v>6857</v>
      </c>
      <c r="R43" s="1">
        <f>G43</f>
        <v>147.85006250000001</v>
      </c>
      <c r="S43" s="1" t="str">
        <f>K43</f>
        <v>F</v>
      </c>
    </row>
    <row r="44" spans="1:19" x14ac:dyDescent="0.45">
      <c r="A44" s="1" t="s">
        <v>186</v>
      </c>
      <c r="B44" s="1" t="s">
        <v>185</v>
      </c>
      <c r="C44" s="1" t="s">
        <v>5</v>
      </c>
      <c r="D44" s="1" t="s">
        <v>168</v>
      </c>
      <c r="E44" s="1" t="s">
        <v>167</v>
      </c>
      <c r="F44" s="1">
        <v>3303</v>
      </c>
      <c r="G44" s="1">
        <v>147.85006250000001</v>
      </c>
      <c r="H44" s="1">
        <v>1998</v>
      </c>
      <c r="I44" s="1">
        <v>2082</v>
      </c>
      <c r="J44" s="3">
        <f>H44/F44</f>
        <v>0.60490463215258861</v>
      </c>
      <c r="K44" s="1" t="str" cm="1">
        <f t="array" ref="K44">_xlfn.IFS(J44&lt;0.5,"F",J44&lt;0.6,"E",J44&lt;0.7,"D",J44&lt;0.8,"C",J44&lt;0.9,"B",J44&lt;=1,"A")</f>
        <v>D</v>
      </c>
      <c r="M44" s="1" t="str" cm="1">
        <f t="array" ref="M44">_xlfn.IFS(
 $G44&lt;=90.8,"low-income",
 $G44&lt;=100.7,"lower-middle income",
 $G44&lt;=157,"higher-middle income",
 $G44&gt;157,"high-income"
)</f>
        <v>higher-middle income</v>
      </c>
      <c r="Q44" s="1">
        <f>F44</f>
        <v>3303</v>
      </c>
      <c r="R44" s="1">
        <f>G44</f>
        <v>147.85006250000001</v>
      </c>
      <c r="S44" s="1" t="str">
        <f>K44</f>
        <v>D</v>
      </c>
    </row>
    <row r="45" spans="1:19" x14ac:dyDescent="0.45">
      <c r="A45" s="1" t="s">
        <v>184</v>
      </c>
      <c r="B45" s="1" t="s">
        <v>183</v>
      </c>
      <c r="C45" s="1" t="s">
        <v>5</v>
      </c>
      <c r="D45" s="1" t="s">
        <v>168</v>
      </c>
      <c r="E45" s="1" t="s">
        <v>167</v>
      </c>
      <c r="F45" s="1">
        <v>5995</v>
      </c>
      <c r="G45" s="1">
        <v>147.85006250000001</v>
      </c>
      <c r="H45" s="1">
        <v>4551</v>
      </c>
      <c r="I45" s="1">
        <v>4551</v>
      </c>
      <c r="J45" s="3">
        <f>H45/F45</f>
        <v>0.75913261050875724</v>
      </c>
      <c r="K45" s="1" t="str" cm="1">
        <f t="array" ref="K45">_xlfn.IFS(J45&lt;0.5,"F",J45&lt;0.6,"E",J45&lt;0.7,"D",J45&lt;0.8,"C",J45&lt;0.9,"B",J45&lt;=1,"A")</f>
        <v>C</v>
      </c>
      <c r="M45" s="1" t="str" cm="1">
        <f t="array" ref="M45">_xlfn.IFS(
 $G45&lt;=90.8,"low-income",
 $G45&lt;=100.7,"lower-middle income",
 $G45&lt;=157,"higher-middle income",
 $G45&gt;157,"high-income"
)</f>
        <v>higher-middle income</v>
      </c>
      <c r="Q45" s="1">
        <f>F45</f>
        <v>5995</v>
      </c>
      <c r="R45" s="1">
        <f>G45</f>
        <v>147.85006250000001</v>
      </c>
      <c r="S45" s="1" t="str">
        <f>K45</f>
        <v>C</v>
      </c>
    </row>
    <row r="46" spans="1:19" x14ac:dyDescent="0.45">
      <c r="A46" s="1" t="s">
        <v>182</v>
      </c>
      <c r="B46" s="1" t="s">
        <v>181</v>
      </c>
      <c r="C46" s="1" t="s">
        <v>5</v>
      </c>
      <c r="D46" s="1" t="s">
        <v>168</v>
      </c>
      <c r="E46" s="1" t="s">
        <v>167</v>
      </c>
      <c r="F46" s="1">
        <v>13394</v>
      </c>
      <c r="G46" s="1">
        <v>218.69566666666671</v>
      </c>
      <c r="H46" s="1">
        <v>5186</v>
      </c>
      <c r="I46" s="1">
        <v>5633</v>
      </c>
      <c r="J46" s="3">
        <f>H46/F46</f>
        <v>0.38718829326564136</v>
      </c>
      <c r="K46" s="1" t="str" cm="1">
        <f t="array" ref="K46">_xlfn.IFS(J46&lt;0.5,"F",J46&lt;0.6,"E",J46&lt;0.7,"D",J46&lt;0.8,"C",J46&lt;0.9,"B",J46&lt;=1,"A")</f>
        <v>F</v>
      </c>
      <c r="M46" s="1" t="str" cm="1">
        <f t="array" ref="M46">_xlfn.IFS(
 $G46&lt;=90.8,"low-income",
 $G46&lt;=100.7,"lower-middle income",
 $G46&lt;=157,"higher-middle income",
 $G46&gt;157,"high-income"
)</f>
        <v>high-income</v>
      </c>
      <c r="Q46" s="1">
        <f>F46</f>
        <v>13394</v>
      </c>
      <c r="R46" s="1">
        <f>G46</f>
        <v>218.69566666666671</v>
      </c>
      <c r="S46" s="1" t="str">
        <f>K46</f>
        <v>F</v>
      </c>
    </row>
    <row r="47" spans="1:19" x14ac:dyDescent="0.45">
      <c r="A47" s="1" t="s">
        <v>180</v>
      </c>
      <c r="B47" s="1" t="s">
        <v>179</v>
      </c>
      <c r="C47" s="1" t="s">
        <v>5</v>
      </c>
      <c r="D47" s="1" t="s">
        <v>168</v>
      </c>
      <c r="E47" s="1" t="s">
        <v>167</v>
      </c>
      <c r="F47" s="1">
        <v>5581</v>
      </c>
      <c r="G47" s="1">
        <v>65.522000000000006</v>
      </c>
      <c r="H47" s="1">
        <v>2243</v>
      </c>
      <c r="I47" s="1">
        <v>2334</v>
      </c>
      <c r="J47" s="3">
        <f>H47/F47</f>
        <v>0.40189930120050171</v>
      </c>
      <c r="K47" s="1" t="str" cm="1">
        <f t="array" ref="K47">_xlfn.IFS(J47&lt;0.5,"F",J47&lt;0.6,"E",J47&lt;0.7,"D",J47&lt;0.8,"C",J47&lt;0.9,"B",J47&lt;=1,"A")</f>
        <v>F</v>
      </c>
      <c r="M47" s="1" t="str" cm="1">
        <f t="array" ref="M47">_xlfn.IFS(
 $G47&lt;=90.8,"low-income",
 $G47&lt;=100.7,"lower-middle income",
 $G47&lt;=157,"higher-middle income",
 $G47&gt;157,"high-income"
)</f>
        <v>low-income</v>
      </c>
      <c r="Q47" s="1">
        <f>F47</f>
        <v>5581</v>
      </c>
      <c r="R47" s="1">
        <f>G47</f>
        <v>65.522000000000006</v>
      </c>
      <c r="S47" s="1" t="str">
        <f>K47</f>
        <v>F</v>
      </c>
    </row>
    <row r="48" spans="1:19" x14ac:dyDescent="0.45">
      <c r="A48" s="1" t="s">
        <v>178</v>
      </c>
      <c r="B48" s="1" t="s">
        <v>177</v>
      </c>
      <c r="C48" s="1" t="s">
        <v>5</v>
      </c>
      <c r="D48" s="1" t="s">
        <v>168</v>
      </c>
      <c r="E48" s="1" t="s">
        <v>167</v>
      </c>
      <c r="F48" s="1">
        <v>6882</v>
      </c>
      <c r="G48" s="1">
        <v>147.85006250000001</v>
      </c>
      <c r="H48" s="1">
        <v>742</v>
      </c>
      <c r="I48" s="1">
        <v>754</v>
      </c>
      <c r="J48" s="3">
        <f>H48/F48</f>
        <v>0.1078174949142691</v>
      </c>
      <c r="K48" s="1" t="str" cm="1">
        <f t="array" ref="K48">_xlfn.IFS(J48&lt;0.5,"F",J48&lt;0.6,"E",J48&lt;0.7,"D",J48&lt;0.8,"C",J48&lt;0.9,"B",J48&lt;=1,"A")</f>
        <v>F</v>
      </c>
      <c r="M48" s="1" t="str" cm="1">
        <f t="array" ref="M48">_xlfn.IFS(
 $G48&lt;=90.8,"low-income",
 $G48&lt;=100.7,"lower-middle income",
 $G48&lt;=157,"higher-middle income",
 $G48&gt;157,"high-income"
)</f>
        <v>higher-middle income</v>
      </c>
      <c r="Q48" s="1">
        <f>F48</f>
        <v>6882</v>
      </c>
      <c r="R48" s="1">
        <f>G48</f>
        <v>147.85006250000001</v>
      </c>
      <c r="S48" s="1" t="str">
        <f>K48</f>
        <v>F</v>
      </c>
    </row>
    <row r="49" spans="1:19" x14ac:dyDescent="0.45">
      <c r="A49" s="1" t="s">
        <v>176</v>
      </c>
      <c r="B49" s="1" t="s">
        <v>175</v>
      </c>
      <c r="C49" s="1" t="s">
        <v>5</v>
      </c>
      <c r="D49" s="1" t="s">
        <v>168</v>
      </c>
      <c r="E49" s="1" t="s">
        <v>167</v>
      </c>
      <c r="F49" s="1">
        <v>16801</v>
      </c>
      <c r="G49" s="1">
        <v>143.98050000000001</v>
      </c>
      <c r="H49" s="1">
        <v>8996</v>
      </c>
      <c r="I49" s="1">
        <v>10529</v>
      </c>
      <c r="J49" s="3">
        <f>H49/F49</f>
        <v>0.53544431879054821</v>
      </c>
      <c r="K49" s="1" t="str" cm="1">
        <f t="array" ref="K49">_xlfn.IFS(J49&lt;0.5,"F",J49&lt;0.6,"E",J49&lt;0.7,"D",J49&lt;0.8,"C",J49&lt;0.9,"B",J49&lt;=1,"A")</f>
        <v>E</v>
      </c>
      <c r="M49" s="1" t="str" cm="1">
        <f t="array" ref="M49">_xlfn.IFS(
 $G49&lt;=90.8,"low-income",
 $G49&lt;=100.7,"lower-middle income",
 $G49&lt;=157,"higher-middle income",
 $G49&gt;157,"high-income"
)</f>
        <v>higher-middle income</v>
      </c>
      <c r="Q49" s="1">
        <f>F49</f>
        <v>16801</v>
      </c>
      <c r="R49" s="1">
        <f>G49</f>
        <v>143.98050000000001</v>
      </c>
      <c r="S49" s="1" t="str">
        <f>K49</f>
        <v>E</v>
      </c>
    </row>
    <row r="50" spans="1:19" x14ac:dyDescent="0.45">
      <c r="A50" s="1" t="s">
        <v>174</v>
      </c>
      <c r="B50" s="1" t="s">
        <v>173</v>
      </c>
      <c r="C50" s="1" t="s">
        <v>5</v>
      </c>
      <c r="D50" s="1" t="s">
        <v>168</v>
      </c>
      <c r="E50" s="1" t="s">
        <v>167</v>
      </c>
      <c r="F50" s="1">
        <v>407</v>
      </c>
      <c r="G50" s="1">
        <v>147.85006250000001</v>
      </c>
      <c r="H50" s="1">
        <v>0</v>
      </c>
      <c r="I50" s="1">
        <v>0</v>
      </c>
      <c r="J50" s="3">
        <f>H50/F50</f>
        <v>0</v>
      </c>
      <c r="K50" s="1" t="str" cm="1">
        <f t="array" ref="K50">_xlfn.IFS(J50&lt;0.5,"F",J50&lt;0.6,"E",J50&lt;0.7,"D",J50&lt;0.8,"C",J50&lt;0.9,"B",J50&lt;=1,"A")</f>
        <v>F</v>
      </c>
      <c r="M50" s="1" t="str" cm="1">
        <f t="array" ref="M50">_xlfn.IFS(
 $G50&lt;=90.8,"low-income",
 $G50&lt;=100.7,"lower-middle income",
 $G50&lt;=157,"higher-middle income",
 $G50&gt;157,"high-income"
)</f>
        <v>higher-middle income</v>
      </c>
      <c r="Q50" s="1">
        <f>F50</f>
        <v>407</v>
      </c>
      <c r="R50" s="1">
        <f>G50</f>
        <v>147.85006250000001</v>
      </c>
      <c r="S50" s="1" t="str">
        <f>K50</f>
        <v>F</v>
      </c>
    </row>
    <row r="51" spans="1:19" x14ac:dyDescent="0.45">
      <c r="A51" s="1" t="s">
        <v>172</v>
      </c>
      <c r="B51" s="1" t="s">
        <v>171</v>
      </c>
      <c r="C51" s="1" t="s">
        <v>5</v>
      </c>
      <c r="D51" s="1" t="s">
        <v>168</v>
      </c>
      <c r="E51" s="1" t="s">
        <v>167</v>
      </c>
      <c r="F51" s="1">
        <v>8274</v>
      </c>
      <c r="G51" s="1">
        <v>147.85006250000001</v>
      </c>
      <c r="H51" s="1">
        <v>2500</v>
      </c>
      <c r="I51" s="1">
        <v>3045</v>
      </c>
      <c r="J51" s="3">
        <f>H51/F51</f>
        <v>0.30215131737974377</v>
      </c>
      <c r="K51" s="1" t="str" cm="1">
        <f t="array" ref="K51">_xlfn.IFS(J51&lt;0.5,"F",J51&lt;0.6,"E",J51&lt;0.7,"D",J51&lt;0.8,"C",J51&lt;0.9,"B",J51&lt;=1,"A")</f>
        <v>F</v>
      </c>
      <c r="M51" s="1" t="str" cm="1">
        <f t="array" ref="M51">_xlfn.IFS(
 $G51&lt;=90.8,"low-income",
 $G51&lt;=100.7,"lower-middle income",
 $G51&lt;=157,"higher-middle income",
 $G51&gt;157,"high-income"
)</f>
        <v>higher-middle income</v>
      </c>
      <c r="Q51" s="1">
        <f>F51</f>
        <v>8274</v>
      </c>
      <c r="R51" s="1">
        <f>G51</f>
        <v>147.85006250000001</v>
      </c>
      <c r="S51" s="1" t="str">
        <f>K51</f>
        <v>F</v>
      </c>
    </row>
    <row r="52" spans="1:19" x14ac:dyDescent="0.45">
      <c r="A52" s="1" t="s">
        <v>170</v>
      </c>
      <c r="B52" s="1" t="s">
        <v>169</v>
      </c>
      <c r="C52" s="1" t="s">
        <v>5</v>
      </c>
      <c r="D52" s="1" t="s">
        <v>168</v>
      </c>
      <c r="E52" s="1" t="s">
        <v>167</v>
      </c>
      <c r="F52" s="1">
        <v>10813</v>
      </c>
      <c r="G52" s="1">
        <v>147.85006250000001</v>
      </c>
      <c r="H52" s="1">
        <v>3749</v>
      </c>
      <c r="I52" s="1">
        <v>4606</v>
      </c>
      <c r="J52" s="3">
        <f>H52/F52</f>
        <v>0.34671229076112087</v>
      </c>
      <c r="K52" s="1" t="str" cm="1">
        <f t="array" ref="K52">_xlfn.IFS(J52&lt;0.5,"F",J52&lt;0.6,"E",J52&lt;0.7,"D",J52&lt;0.8,"C",J52&lt;0.9,"B",J52&lt;=1,"A")</f>
        <v>F</v>
      </c>
      <c r="M52" s="1" t="str" cm="1">
        <f t="array" ref="M52">_xlfn.IFS(
 $G52&lt;=90.8,"low-income",
 $G52&lt;=100.7,"lower-middle income",
 $G52&lt;=157,"higher-middle income",
 $G52&gt;157,"high-income"
)</f>
        <v>higher-middle income</v>
      </c>
      <c r="Q52" s="1">
        <f>F52</f>
        <v>10813</v>
      </c>
      <c r="R52" s="1">
        <f>G52</f>
        <v>147.85006250000001</v>
      </c>
      <c r="S52" s="1" t="str">
        <f>K52</f>
        <v>F</v>
      </c>
    </row>
    <row r="53" spans="1:19" x14ac:dyDescent="0.45">
      <c r="A53" s="1" t="s">
        <v>166</v>
      </c>
      <c r="B53" s="1" t="s">
        <v>165</v>
      </c>
      <c r="C53" s="1" t="s">
        <v>5</v>
      </c>
      <c r="D53" s="1" t="s">
        <v>140</v>
      </c>
      <c r="E53" s="1" t="s">
        <v>139</v>
      </c>
      <c r="F53" s="1">
        <v>6501</v>
      </c>
      <c r="G53" s="1">
        <v>100.7487083333333</v>
      </c>
      <c r="H53" s="1">
        <v>4726</v>
      </c>
      <c r="I53" s="1">
        <v>4935</v>
      </c>
      <c r="J53" s="3">
        <f>H53/F53</f>
        <v>0.72696508229503154</v>
      </c>
      <c r="K53" s="1" t="str" cm="1">
        <f t="array" ref="K53">_xlfn.IFS(J53&lt;0.5,"F",J53&lt;0.6,"E",J53&lt;0.7,"D",J53&lt;0.8,"C",J53&lt;0.9,"B",J53&lt;=1,"A")</f>
        <v>C</v>
      </c>
      <c r="M53" s="1" t="str" cm="1">
        <f t="array" ref="M53">_xlfn.IFS(
 $G53&lt;=90.8,"low-income",
 $G53&lt;=100.7,"lower-middle income",
 $G53&lt;=157,"higher-middle income",
 $G53&gt;157,"high-income"
)</f>
        <v>higher-middle income</v>
      </c>
      <c r="Q53" s="1">
        <f>F53</f>
        <v>6501</v>
      </c>
      <c r="R53" s="1">
        <f>G53</f>
        <v>100.7487083333333</v>
      </c>
      <c r="S53" s="1" t="str">
        <f>K53</f>
        <v>C</v>
      </c>
    </row>
    <row r="54" spans="1:19" x14ac:dyDescent="0.45">
      <c r="A54" s="1" t="s">
        <v>164</v>
      </c>
      <c r="B54" s="1" t="s">
        <v>163</v>
      </c>
      <c r="C54" s="1" t="s">
        <v>5</v>
      </c>
      <c r="D54" s="1" t="s">
        <v>140</v>
      </c>
      <c r="E54" s="1" t="s">
        <v>139</v>
      </c>
      <c r="F54" s="1">
        <v>7705</v>
      </c>
      <c r="G54" s="1">
        <v>129.81512499999999</v>
      </c>
      <c r="H54" s="1">
        <v>2224</v>
      </c>
      <c r="I54" s="1">
        <v>2769</v>
      </c>
      <c r="J54" s="3">
        <f>H54/F54</f>
        <v>0.28864373783257624</v>
      </c>
      <c r="K54" s="1" t="str" cm="1">
        <f t="array" ref="K54">_xlfn.IFS(J54&lt;0.5,"F",J54&lt;0.6,"E",J54&lt;0.7,"D",J54&lt;0.8,"C",J54&lt;0.9,"B",J54&lt;=1,"A")</f>
        <v>F</v>
      </c>
      <c r="M54" s="1" t="str" cm="1">
        <f t="array" ref="M54">_xlfn.IFS(
 $G54&lt;=90.8,"low-income",
 $G54&lt;=100.7,"lower-middle income",
 $G54&lt;=157,"higher-middle income",
 $G54&gt;157,"high-income"
)</f>
        <v>higher-middle income</v>
      </c>
      <c r="Q54" s="1">
        <f>F54</f>
        <v>7705</v>
      </c>
      <c r="R54" s="1">
        <f>G54</f>
        <v>129.81512499999999</v>
      </c>
      <c r="S54" s="1" t="str">
        <f>K54</f>
        <v>F</v>
      </c>
    </row>
    <row r="55" spans="1:19" x14ac:dyDescent="0.45">
      <c r="A55" s="1" t="s">
        <v>162</v>
      </c>
      <c r="B55" s="1" t="s">
        <v>161</v>
      </c>
      <c r="C55" s="1" t="s">
        <v>2</v>
      </c>
      <c r="D55" s="1" t="s">
        <v>140</v>
      </c>
      <c r="E55" s="1" t="s">
        <v>139</v>
      </c>
      <c r="F55" s="1">
        <v>24299</v>
      </c>
      <c r="G55" s="1">
        <v>87.903999999999996</v>
      </c>
      <c r="H55" s="1">
        <v>21935</v>
      </c>
      <c r="I55" s="1">
        <v>21853</v>
      </c>
      <c r="J55" s="3">
        <f>H55/F55</f>
        <v>0.90271204576320008</v>
      </c>
      <c r="K55" s="1" t="str" cm="1">
        <f t="array" ref="K55">_xlfn.IFS(J55&lt;0.5,"F",J55&lt;0.6,"E",J55&lt;0.7,"D",J55&lt;0.8,"C",J55&lt;0.9,"B",J55&lt;=1,"A")</f>
        <v>A</v>
      </c>
      <c r="M55" s="1" t="str" cm="1">
        <f t="array" ref="M55">_xlfn.IFS(
 $G55&lt;=90.8,"low-income",
 $G55&lt;=100.7,"lower-middle income",
 $G55&lt;=157,"higher-middle income",
 $G55&gt;157,"high-income"
)</f>
        <v>low-income</v>
      </c>
      <c r="Q55" s="1">
        <f>F55</f>
        <v>24299</v>
      </c>
      <c r="R55" s="1">
        <f>G55</f>
        <v>87.903999999999996</v>
      </c>
      <c r="S55" s="1" t="str">
        <f>K55</f>
        <v>A</v>
      </c>
    </row>
    <row r="56" spans="1:19" x14ac:dyDescent="0.45">
      <c r="A56" s="1" t="s">
        <v>160</v>
      </c>
      <c r="B56" s="1" t="s">
        <v>159</v>
      </c>
      <c r="C56" s="1" t="s">
        <v>5</v>
      </c>
      <c r="D56" s="1" t="s">
        <v>140</v>
      </c>
      <c r="E56" s="1" t="s">
        <v>139</v>
      </c>
      <c r="F56" s="1">
        <v>14351</v>
      </c>
      <c r="G56" s="1">
        <v>100.7487083333333</v>
      </c>
      <c r="H56" s="1">
        <v>8371</v>
      </c>
      <c r="I56" s="1">
        <v>8954</v>
      </c>
      <c r="J56" s="3">
        <f>H56/F56</f>
        <v>0.58330429935196149</v>
      </c>
      <c r="K56" s="1" t="str" cm="1">
        <f t="array" ref="K56">_xlfn.IFS(J56&lt;0.5,"F",J56&lt;0.6,"E",J56&lt;0.7,"D",J56&lt;0.8,"C",J56&lt;0.9,"B",J56&lt;=1,"A")</f>
        <v>E</v>
      </c>
      <c r="M56" s="1" t="str" cm="1">
        <f t="array" ref="M56">_xlfn.IFS(
 $G56&lt;=90.8,"low-income",
 $G56&lt;=100.7,"lower-middle income",
 $G56&lt;=157,"higher-middle income",
 $G56&gt;157,"high-income"
)</f>
        <v>higher-middle income</v>
      </c>
      <c r="Q56" s="1">
        <f>F56</f>
        <v>14351</v>
      </c>
      <c r="R56" s="1">
        <f>G56</f>
        <v>100.7487083333333</v>
      </c>
      <c r="S56" s="1" t="str">
        <f>K56</f>
        <v>E</v>
      </c>
    </row>
    <row r="57" spans="1:19" x14ac:dyDescent="0.45">
      <c r="A57" s="1" t="s">
        <v>158</v>
      </c>
      <c r="B57" s="1" t="s">
        <v>157</v>
      </c>
      <c r="C57" s="1" t="s">
        <v>5</v>
      </c>
      <c r="D57" s="1" t="s">
        <v>140</v>
      </c>
      <c r="E57" s="1" t="s">
        <v>139</v>
      </c>
      <c r="F57" s="1">
        <v>7916</v>
      </c>
      <c r="G57" s="1">
        <v>100.7487083333333</v>
      </c>
      <c r="H57" s="1">
        <v>498</v>
      </c>
      <c r="I57" s="1">
        <v>571</v>
      </c>
      <c r="J57" s="3">
        <f>H57/F57</f>
        <v>6.2910560889338052E-2</v>
      </c>
      <c r="K57" s="1" t="str" cm="1">
        <f t="array" ref="K57">_xlfn.IFS(J57&lt;0.5,"F",J57&lt;0.6,"E",J57&lt;0.7,"D",J57&lt;0.8,"C",J57&lt;0.9,"B",J57&lt;=1,"A")</f>
        <v>F</v>
      </c>
      <c r="M57" s="1" t="str" cm="1">
        <f t="array" ref="M57">_xlfn.IFS(
 $G57&lt;=90.8,"low-income",
 $G57&lt;=100.7,"lower-middle income",
 $G57&lt;=157,"higher-middle income",
 $G57&gt;157,"high-income"
)</f>
        <v>higher-middle income</v>
      </c>
      <c r="Q57" s="1">
        <f>F57</f>
        <v>7916</v>
      </c>
      <c r="R57" s="1">
        <f>G57</f>
        <v>100.7487083333333</v>
      </c>
      <c r="S57" s="1" t="str">
        <f>K57</f>
        <v>F</v>
      </c>
    </row>
    <row r="58" spans="1:19" x14ac:dyDescent="0.45">
      <c r="A58" s="1" t="s">
        <v>156</v>
      </c>
      <c r="B58" s="1" t="s">
        <v>155</v>
      </c>
      <c r="C58" s="1" t="s">
        <v>5</v>
      </c>
      <c r="D58" s="1" t="s">
        <v>140</v>
      </c>
      <c r="E58" s="1" t="s">
        <v>139</v>
      </c>
      <c r="F58" s="1">
        <v>8081</v>
      </c>
      <c r="G58" s="1">
        <v>100.7487083333333</v>
      </c>
      <c r="H58" s="1">
        <v>1236</v>
      </c>
      <c r="I58" s="1">
        <v>1236</v>
      </c>
      <c r="J58" s="3">
        <f>H58/F58</f>
        <v>0.15295136740502413</v>
      </c>
      <c r="K58" s="1" t="str" cm="1">
        <f t="array" ref="K58">_xlfn.IFS(J58&lt;0.5,"F",J58&lt;0.6,"E",J58&lt;0.7,"D",J58&lt;0.8,"C",J58&lt;0.9,"B",J58&lt;=1,"A")</f>
        <v>F</v>
      </c>
      <c r="M58" s="1" t="str" cm="1">
        <f t="array" ref="M58">_xlfn.IFS(
 $G58&lt;=90.8,"low-income",
 $G58&lt;=100.7,"lower-middle income",
 $G58&lt;=157,"higher-middle income",
 $G58&gt;157,"high-income"
)</f>
        <v>higher-middle income</v>
      </c>
      <c r="Q58" s="1">
        <f>F58</f>
        <v>8081</v>
      </c>
      <c r="R58" s="1">
        <f>G58</f>
        <v>100.7487083333333</v>
      </c>
      <c r="S58" s="1" t="str">
        <f>K58</f>
        <v>F</v>
      </c>
    </row>
    <row r="59" spans="1:19" x14ac:dyDescent="0.45">
      <c r="A59" s="1" t="s">
        <v>154</v>
      </c>
      <c r="B59" s="1" t="s">
        <v>153</v>
      </c>
      <c r="C59" s="1" t="s">
        <v>5</v>
      </c>
      <c r="D59" s="1" t="s">
        <v>140</v>
      </c>
      <c r="E59" s="1" t="s">
        <v>139</v>
      </c>
      <c r="F59" s="1">
        <v>16857</v>
      </c>
      <c r="G59" s="1">
        <v>100.7487083333333</v>
      </c>
      <c r="H59" s="1">
        <v>9688</v>
      </c>
      <c r="I59" s="1">
        <v>10509</v>
      </c>
      <c r="J59" s="3">
        <f>H59/F59</f>
        <v>0.57471673488758379</v>
      </c>
      <c r="K59" s="1" t="str" cm="1">
        <f t="array" ref="K59">_xlfn.IFS(J59&lt;0.5,"F",J59&lt;0.6,"E",J59&lt;0.7,"D",J59&lt;0.8,"C",J59&lt;0.9,"B",J59&lt;=1,"A")</f>
        <v>E</v>
      </c>
      <c r="M59" s="1" t="str" cm="1">
        <f t="array" ref="M59">_xlfn.IFS(
 $G59&lt;=90.8,"low-income",
 $G59&lt;=100.7,"lower-middle income",
 $G59&lt;=157,"higher-middle income",
 $G59&gt;157,"high-income"
)</f>
        <v>higher-middle income</v>
      </c>
      <c r="Q59" s="1">
        <f>F59</f>
        <v>16857</v>
      </c>
      <c r="R59" s="1">
        <f>G59</f>
        <v>100.7487083333333</v>
      </c>
      <c r="S59" s="1" t="str">
        <f>K59</f>
        <v>E</v>
      </c>
    </row>
    <row r="60" spans="1:19" x14ac:dyDescent="0.45">
      <c r="A60" s="1" t="s">
        <v>152</v>
      </c>
      <c r="B60" s="1" t="s">
        <v>151</v>
      </c>
      <c r="C60" s="1" t="s">
        <v>5</v>
      </c>
      <c r="D60" s="1" t="s">
        <v>140</v>
      </c>
      <c r="E60" s="1" t="s">
        <v>139</v>
      </c>
      <c r="F60" s="1">
        <v>13541</v>
      </c>
      <c r="G60" s="1">
        <v>102.1215714285714</v>
      </c>
      <c r="H60" s="1">
        <v>2170</v>
      </c>
      <c r="I60" s="1">
        <v>2496</v>
      </c>
      <c r="J60" s="3">
        <f>H60/F60</f>
        <v>0.16025404327597667</v>
      </c>
      <c r="K60" s="1" t="str" cm="1">
        <f t="array" ref="K60">_xlfn.IFS(J60&lt;0.5,"F",J60&lt;0.6,"E",J60&lt;0.7,"D",J60&lt;0.8,"C",J60&lt;0.9,"B",J60&lt;=1,"A")</f>
        <v>F</v>
      </c>
      <c r="M60" s="1" t="str" cm="1">
        <f t="array" ref="M60">_xlfn.IFS(
 $G60&lt;=90.8,"low-income",
 $G60&lt;=100.7,"lower-middle income",
 $G60&lt;=157,"higher-middle income",
 $G60&gt;157,"high-income"
)</f>
        <v>higher-middle income</v>
      </c>
      <c r="Q60" s="1">
        <f>F60</f>
        <v>13541</v>
      </c>
      <c r="R60" s="1">
        <f>G60</f>
        <v>102.1215714285714</v>
      </c>
      <c r="S60" s="1" t="str">
        <f>K60</f>
        <v>F</v>
      </c>
    </row>
    <row r="61" spans="1:19" x14ac:dyDescent="0.45">
      <c r="A61" s="1" t="s">
        <v>150</v>
      </c>
      <c r="B61" s="1" t="s">
        <v>149</v>
      </c>
      <c r="C61" s="1" t="s">
        <v>5</v>
      </c>
      <c r="D61" s="1" t="s">
        <v>140</v>
      </c>
      <c r="E61" s="1" t="s">
        <v>139</v>
      </c>
      <c r="F61" s="1">
        <v>5588</v>
      </c>
      <c r="G61" s="1">
        <v>100.7487083333333</v>
      </c>
      <c r="H61" s="1">
        <v>774</v>
      </c>
      <c r="I61" s="1">
        <v>811</v>
      </c>
      <c r="J61" s="3">
        <f>H61/F61</f>
        <v>0.13851109520400859</v>
      </c>
      <c r="K61" s="1" t="str" cm="1">
        <f t="array" ref="K61">_xlfn.IFS(J61&lt;0.5,"F",J61&lt;0.6,"E",J61&lt;0.7,"D",J61&lt;0.8,"C",J61&lt;0.9,"B",J61&lt;=1,"A")</f>
        <v>F</v>
      </c>
      <c r="M61" s="1" t="str" cm="1">
        <f t="array" ref="M61">_xlfn.IFS(
 $G61&lt;=90.8,"low-income",
 $G61&lt;=100.7,"lower-middle income",
 $G61&lt;=157,"higher-middle income",
 $G61&gt;157,"high-income"
)</f>
        <v>higher-middle income</v>
      </c>
      <c r="Q61" s="1">
        <f>F61</f>
        <v>5588</v>
      </c>
      <c r="R61" s="1">
        <f>G61</f>
        <v>100.7487083333333</v>
      </c>
      <c r="S61" s="1" t="str">
        <f>K61</f>
        <v>F</v>
      </c>
    </row>
    <row r="62" spans="1:19" x14ac:dyDescent="0.45">
      <c r="A62" s="1" t="s">
        <v>148</v>
      </c>
      <c r="B62" s="1" t="s">
        <v>147</v>
      </c>
      <c r="C62" s="1" t="s">
        <v>5</v>
      </c>
      <c r="D62" s="1" t="s">
        <v>140</v>
      </c>
      <c r="E62" s="1" t="s">
        <v>139</v>
      </c>
      <c r="F62" s="1">
        <v>4486</v>
      </c>
      <c r="G62" s="1">
        <v>100.7487083333333</v>
      </c>
      <c r="H62" s="1">
        <v>936</v>
      </c>
      <c r="I62" s="1">
        <v>1069</v>
      </c>
      <c r="J62" s="3">
        <f>H62/F62</f>
        <v>0.20864913062862239</v>
      </c>
      <c r="K62" s="1" t="str" cm="1">
        <f t="array" ref="K62">_xlfn.IFS(J62&lt;0.5,"F",J62&lt;0.6,"E",J62&lt;0.7,"D",J62&lt;0.8,"C",J62&lt;0.9,"B",J62&lt;=1,"A")</f>
        <v>F</v>
      </c>
      <c r="M62" s="1" t="str" cm="1">
        <f t="array" ref="M62">_xlfn.IFS(
 $G62&lt;=90.8,"low-income",
 $G62&lt;=100.7,"lower-middle income",
 $G62&lt;=157,"higher-middle income",
 $G62&gt;157,"high-income"
)</f>
        <v>higher-middle income</v>
      </c>
      <c r="Q62" s="1">
        <f>F62</f>
        <v>4486</v>
      </c>
      <c r="R62" s="1">
        <f>G62</f>
        <v>100.7487083333333</v>
      </c>
      <c r="S62" s="1" t="str">
        <f>K62</f>
        <v>F</v>
      </c>
    </row>
    <row r="63" spans="1:19" x14ac:dyDescent="0.45">
      <c r="A63" s="1" t="s">
        <v>146</v>
      </c>
      <c r="B63" s="1" t="s">
        <v>145</v>
      </c>
      <c r="C63" s="1" t="s">
        <v>5</v>
      </c>
      <c r="D63" s="1" t="s">
        <v>140</v>
      </c>
      <c r="E63" s="1" t="s">
        <v>139</v>
      </c>
      <c r="F63" s="1">
        <v>18592</v>
      </c>
      <c r="G63" s="1">
        <v>100.7487083333333</v>
      </c>
      <c r="H63" s="1">
        <v>949</v>
      </c>
      <c r="I63" s="1">
        <v>1084</v>
      </c>
      <c r="J63" s="3">
        <f>H63/F63</f>
        <v>5.1043459552495694E-2</v>
      </c>
      <c r="K63" s="1" t="str" cm="1">
        <f t="array" ref="K63">_xlfn.IFS(J63&lt;0.5,"F",J63&lt;0.6,"E",J63&lt;0.7,"D",J63&lt;0.8,"C",J63&lt;0.9,"B",J63&lt;=1,"A")</f>
        <v>F</v>
      </c>
      <c r="M63" s="1" t="str" cm="1">
        <f t="array" ref="M63">_xlfn.IFS(
 $G63&lt;=90.8,"low-income",
 $G63&lt;=100.7,"lower-middle income",
 $G63&lt;=157,"higher-middle income",
 $G63&gt;157,"high-income"
)</f>
        <v>higher-middle income</v>
      </c>
      <c r="Q63" s="1">
        <f>F63</f>
        <v>18592</v>
      </c>
      <c r="R63" s="1">
        <f>G63</f>
        <v>100.7487083333333</v>
      </c>
      <c r="S63" s="1" t="str">
        <f>K63</f>
        <v>F</v>
      </c>
    </row>
    <row r="64" spans="1:19" x14ac:dyDescent="0.45">
      <c r="A64" s="1" t="s">
        <v>144</v>
      </c>
      <c r="B64" s="1" t="s">
        <v>143</v>
      </c>
      <c r="C64" s="1" t="s">
        <v>5</v>
      </c>
      <c r="D64" s="1" t="s">
        <v>140</v>
      </c>
      <c r="E64" s="1" t="s">
        <v>139</v>
      </c>
      <c r="F64" s="1">
        <v>5424</v>
      </c>
      <c r="G64" s="1">
        <v>62.596200000000003</v>
      </c>
      <c r="H64" s="1">
        <v>4155</v>
      </c>
      <c r="I64" s="1">
        <v>4859</v>
      </c>
      <c r="J64" s="3">
        <f>H64/F64</f>
        <v>0.76603982300884954</v>
      </c>
      <c r="K64" s="1" t="str" cm="1">
        <f t="array" ref="K64">_xlfn.IFS(J64&lt;0.5,"F",J64&lt;0.6,"E",J64&lt;0.7,"D",J64&lt;0.8,"C",J64&lt;0.9,"B",J64&lt;=1,"A")</f>
        <v>C</v>
      </c>
      <c r="M64" s="1" t="str" cm="1">
        <f t="array" ref="M64">_xlfn.IFS(
 $G64&lt;=90.8,"low-income",
 $G64&lt;=100.7,"lower-middle income",
 $G64&lt;=157,"higher-middle income",
 $G64&gt;157,"high-income"
)</f>
        <v>low-income</v>
      </c>
      <c r="Q64" s="1">
        <f>F64</f>
        <v>5424</v>
      </c>
      <c r="R64" s="1">
        <f>G64</f>
        <v>62.596200000000003</v>
      </c>
      <c r="S64" s="1" t="str">
        <f>K64</f>
        <v>C</v>
      </c>
    </row>
    <row r="65" spans="1:19" x14ac:dyDescent="0.45">
      <c r="A65" s="1" t="s">
        <v>142</v>
      </c>
      <c r="B65" s="1" t="s">
        <v>141</v>
      </c>
      <c r="C65" s="1" t="s">
        <v>5</v>
      </c>
      <c r="D65" s="1" t="s">
        <v>140</v>
      </c>
      <c r="E65" s="1" t="s">
        <v>139</v>
      </c>
      <c r="F65" s="1">
        <v>3495</v>
      </c>
      <c r="G65" s="1">
        <v>100.7487083333333</v>
      </c>
      <c r="H65" s="1">
        <v>0</v>
      </c>
      <c r="I65" s="1">
        <v>0</v>
      </c>
      <c r="J65" s="3">
        <f>H65/F65</f>
        <v>0</v>
      </c>
      <c r="K65" s="1" t="str" cm="1">
        <f t="array" ref="K65">_xlfn.IFS(J65&lt;0.5,"F",J65&lt;0.6,"E",J65&lt;0.7,"D",J65&lt;0.8,"C",J65&lt;0.9,"B",J65&lt;=1,"A")</f>
        <v>F</v>
      </c>
      <c r="M65" s="1" t="str" cm="1">
        <f t="array" ref="M65">_xlfn.IFS(
 $G65&lt;=90.8,"low-income",
 $G65&lt;=100.7,"lower-middle income",
 $G65&lt;=157,"higher-middle income",
 $G65&gt;157,"high-income"
)</f>
        <v>higher-middle income</v>
      </c>
      <c r="Q65" s="1">
        <f>F65</f>
        <v>3495</v>
      </c>
      <c r="R65" s="1">
        <f>G65</f>
        <v>100.7487083333333</v>
      </c>
      <c r="S65" s="1" t="str">
        <f>K65</f>
        <v>F</v>
      </c>
    </row>
    <row r="66" spans="1:19" x14ac:dyDescent="0.45">
      <c r="A66" s="1" t="s">
        <v>138</v>
      </c>
      <c r="B66" s="1" t="s">
        <v>137</v>
      </c>
      <c r="C66" s="1" t="s">
        <v>5</v>
      </c>
      <c r="D66" s="1" t="s">
        <v>85</v>
      </c>
      <c r="E66" s="1" t="s">
        <v>84</v>
      </c>
      <c r="F66" s="1">
        <v>14404</v>
      </c>
      <c r="G66" s="1">
        <v>136.0146666666667</v>
      </c>
      <c r="H66" s="1">
        <v>2997</v>
      </c>
      <c r="I66" s="1">
        <v>3535</v>
      </c>
      <c r="J66" s="3">
        <f>H66/F66</f>
        <v>0.20806720355456818</v>
      </c>
      <c r="K66" s="1" t="str" cm="1">
        <f t="array" ref="K66">_xlfn.IFS(J66&lt;0.5,"F",J66&lt;0.6,"E",J66&lt;0.7,"D",J66&lt;0.8,"C",J66&lt;0.9,"B",J66&lt;=1,"A")</f>
        <v>F</v>
      </c>
      <c r="M66" s="1" t="str" cm="1">
        <f t="array" ref="M66">_xlfn.IFS(
 $G66&lt;=90.8,"low-income",
 $G66&lt;=100.7,"lower-middle income",
 $G66&lt;=157,"higher-middle income",
 $G66&gt;157,"high-income"
)</f>
        <v>higher-middle income</v>
      </c>
      <c r="Q66" s="1">
        <f>F66</f>
        <v>14404</v>
      </c>
      <c r="R66" s="1">
        <f>G66</f>
        <v>136.0146666666667</v>
      </c>
      <c r="S66" s="1" t="str">
        <f>K66</f>
        <v>F</v>
      </c>
    </row>
    <row r="67" spans="1:19" x14ac:dyDescent="0.45">
      <c r="A67" s="1" t="s">
        <v>136</v>
      </c>
      <c r="B67" s="1" t="s">
        <v>135</v>
      </c>
      <c r="C67" s="1" t="s">
        <v>5</v>
      </c>
      <c r="D67" s="1" t="s">
        <v>85</v>
      </c>
      <c r="E67" s="1" t="s">
        <v>84</v>
      </c>
      <c r="F67" s="1">
        <v>13347</v>
      </c>
      <c r="G67" s="1">
        <v>98.343125000000001</v>
      </c>
      <c r="H67" s="1">
        <v>3645</v>
      </c>
      <c r="I67" s="1">
        <v>4142</v>
      </c>
      <c r="J67" s="3">
        <f>H67/F67</f>
        <v>0.27309507754551582</v>
      </c>
      <c r="K67" s="1" t="str" cm="1">
        <f t="array" ref="K67">_xlfn.IFS(J67&lt;0.5,"F",J67&lt;0.6,"E",J67&lt;0.7,"D",J67&lt;0.8,"C",J67&lt;0.9,"B",J67&lt;=1,"A")</f>
        <v>F</v>
      </c>
      <c r="M67" s="1" t="str" cm="1">
        <f t="array" ref="M67">_xlfn.IFS(
 $G67&lt;=90.8,"low-income",
 $G67&lt;=100.7,"lower-middle income",
 $G67&lt;=157,"higher-middle income",
 $G67&gt;157,"high-income"
)</f>
        <v>lower-middle income</v>
      </c>
      <c r="Q67" s="1">
        <f>F67</f>
        <v>13347</v>
      </c>
      <c r="R67" s="1">
        <f>G67</f>
        <v>98.343125000000001</v>
      </c>
      <c r="S67" s="1" t="str">
        <f>K67</f>
        <v>F</v>
      </c>
    </row>
    <row r="68" spans="1:19" x14ac:dyDescent="0.45">
      <c r="A68" s="1" t="s">
        <v>134</v>
      </c>
      <c r="B68" s="1" t="s">
        <v>133</v>
      </c>
      <c r="C68" s="1" t="s">
        <v>94</v>
      </c>
      <c r="D68" s="1" t="s">
        <v>85</v>
      </c>
      <c r="E68" s="1" t="s">
        <v>84</v>
      </c>
      <c r="F68" s="1">
        <v>10999</v>
      </c>
      <c r="G68" s="1">
        <v>98.343125000000001</v>
      </c>
      <c r="H68" s="1">
        <v>9253</v>
      </c>
      <c r="I68" s="1">
        <v>9340</v>
      </c>
      <c r="J68" s="3">
        <f>H68/F68</f>
        <v>0.84125829620874626</v>
      </c>
      <c r="K68" s="1" t="str" cm="1">
        <f t="array" ref="K68">_xlfn.IFS(J68&lt;0.5,"F",J68&lt;0.6,"E",J68&lt;0.7,"D",J68&lt;0.8,"C",J68&lt;0.9,"B",J68&lt;=1,"A")</f>
        <v>B</v>
      </c>
      <c r="M68" s="1" t="str" cm="1">
        <f t="array" ref="M68">_xlfn.IFS(
 $G68&lt;=90.8,"low-income",
 $G68&lt;=100.7,"lower-middle income",
 $G68&lt;=157,"higher-middle income",
 $G68&gt;157,"high-income"
)</f>
        <v>lower-middle income</v>
      </c>
      <c r="Q68" s="1">
        <f>F68</f>
        <v>10999</v>
      </c>
      <c r="R68" s="1">
        <f>G68</f>
        <v>98.343125000000001</v>
      </c>
      <c r="S68" s="1" t="str">
        <f>K68</f>
        <v>B</v>
      </c>
    </row>
    <row r="69" spans="1:19" x14ac:dyDescent="0.45">
      <c r="A69" s="1" t="s">
        <v>132</v>
      </c>
      <c r="B69" s="1" t="s">
        <v>131</v>
      </c>
      <c r="C69" s="1" t="s">
        <v>94</v>
      </c>
      <c r="D69" s="1" t="s">
        <v>85</v>
      </c>
      <c r="E69" s="1" t="s">
        <v>84</v>
      </c>
      <c r="F69" s="1">
        <v>10956</v>
      </c>
      <c r="G69" s="1">
        <v>140.024</v>
      </c>
      <c r="H69" s="1">
        <v>6647</v>
      </c>
      <c r="I69" s="1">
        <v>6837</v>
      </c>
      <c r="J69" s="3">
        <f>H69/F69</f>
        <v>0.60669952537422422</v>
      </c>
      <c r="K69" s="1" t="str" cm="1">
        <f t="array" ref="K69">_xlfn.IFS(J69&lt;0.5,"F",J69&lt;0.6,"E",J69&lt;0.7,"D",J69&lt;0.8,"C",J69&lt;0.9,"B",J69&lt;=1,"A")</f>
        <v>D</v>
      </c>
      <c r="M69" s="1" t="str" cm="1">
        <f t="array" ref="M69">_xlfn.IFS(
 $G69&lt;=90.8,"low-income",
 $G69&lt;=100.7,"lower-middle income",
 $G69&lt;=157,"higher-middle income",
 $G69&gt;157,"high-income"
)</f>
        <v>higher-middle income</v>
      </c>
      <c r="Q69" s="1">
        <f>F69</f>
        <v>10956</v>
      </c>
      <c r="R69" s="1">
        <f>G69</f>
        <v>140.024</v>
      </c>
      <c r="S69" s="1" t="str">
        <f>K69</f>
        <v>D</v>
      </c>
    </row>
    <row r="70" spans="1:19" x14ac:dyDescent="0.45">
      <c r="A70" s="1" t="s">
        <v>130</v>
      </c>
      <c r="B70" s="1" t="s">
        <v>129</v>
      </c>
      <c r="C70" s="1" t="s">
        <v>5</v>
      </c>
      <c r="D70" s="1" t="s">
        <v>85</v>
      </c>
      <c r="E70" s="1" t="s">
        <v>84</v>
      </c>
      <c r="F70" s="1">
        <v>4995</v>
      </c>
      <c r="G70" s="1">
        <v>95.379249999999999</v>
      </c>
      <c r="H70" s="1">
        <v>5</v>
      </c>
      <c r="I70" s="1">
        <v>5</v>
      </c>
      <c r="J70" s="3">
        <f>H70/F70</f>
        <v>1.001001001001001E-3</v>
      </c>
      <c r="K70" s="1" t="str" cm="1">
        <f t="array" ref="K70">_xlfn.IFS(J70&lt;0.5,"F",J70&lt;0.6,"E",J70&lt;0.7,"D",J70&lt;0.8,"C",J70&lt;0.9,"B",J70&lt;=1,"A")</f>
        <v>F</v>
      </c>
      <c r="M70" s="1" t="str" cm="1">
        <f t="array" ref="M70">_xlfn.IFS(
 $G70&lt;=90.8,"low-income",
 $G70&lt;=100.7,"lower-middle income",
 $G70&lt;=157,"higher-middle income",
 $G70&gt;157,"high-income"
)</f>
        <v>lower-middle income</v>
      </c>
      <c r="Q70" s="1">
        <f>F70</f>
        <v>4995</v>
      </c>
      <c r="R70" s="1">
        <f>G70</f>
        <v>95.379249999999999</v>
      </c>
      <c r="S70" s="1" t="str">
        <f>K70</f>
        <v>F</v>
      </c>
    </row>
    <row r="71" spans="1:19" x14ac:dyDescent="0.45">
      <c r="A71" s="1" t="s">
        <v>128</v>
      </c>
      <c r="B71" s="1" t="s">
        <v>127</v>
      </c>
      <c r="C71" s="1" t="s">
        <v>94</v>
      </c>
      <c r="D71" s="1" t="s">
        <v>85</v>
      </c>
      <c r="E71" s="1" t="s">
        <v>84</v>
      </c>
      <c r="F71" s="1">
        <v>9269</v>
      </c>
      <c r="G71" s="1">
        <v>98.343125000000001</v>
      </c>
      <c r="H71" s="1">
        <v>3602</v>
      </c>
      <c r="I71" s="1">
        <v>3623</v>
      </c>
      <c r="J71" s="3">
        <f>H71/F71</f>
        <v>0.38860718524112636</v>
      </c>
      <c r="K71" s="1" t="str" cm="1">
        <f t="array" ref="K71">_xlfn.IFS(J71&lt;0.5,"F",J71&lt;0.6,"E",J71&lt;0.7,"D",J71&lt;0.8,"C",J71&lt;0.9,"B",J71&lt;=1,"A")</f>
        <v>F</v>
      </c>
      <c r="M71" s="1" t="str" cm="1">
        <f t="array" ref="M71">_xlfn.IFS(
 $G71&lt;=90.8,"low-income",
 $G71&lt;=100.7,"lower-middle income",
 $G71&lt;=157,"higher-middle income",
 $G71&gt;157,"high-income"
)</f>
        <v>lower-middle income</v>
      </c>
      <c r="Q71" s="1">
        <f>F71</f>
        <v>9269</v>
      </c>
      <c r="R71" s="1">
        <f>G71</f>
        <v>98.343125000000001</v>
      </c>
      <c r="S71" s="1" t="str">
        <f>K71</f>
        <v>F</v>
      </c>
    </row>
    <row r="72" spans="1:19" x14ac:dyDescent="0.45">
      <c r="A72" s="1" t="s">
        <v>126</v>
      </c>
      <c r="B72" s="1" t="s">
        <v>125</v>
      </c>
      <c r="C72" s="1" t="s">
        <v>94</v>
      </c>
      <c r="D72" s="1" t="s">
        <v>85</v>
      </c>
      <c r="E72" s="1" t="s">
        <v>84</v>
      </c>
      <c r="F72" s="1">
        <v>6095</v>
      </c>
      <c r="G72" s="1">
        <v>98.343125000000001</v>
      </c>
      <c r="H72" s="1">
        <v>1108</v>
      </c>
      <c r="I72" s="1">
        <v>1315</v>
      </c>
      <c r="J72" s="3">
        <f>H72/F72</f>
        <v>0.18178835110746513</v>
      </c>
      <c r="K72" s="1" t="str" cm="1">
        <f t="array" ref="K72">_xlfn.IFS(J72&lt;0.5,"F",J72&lt;0.6,"E",J72&lt;0.7,"D",J72&lt;0.8,"C",J72&lt;0.9,"B",J72&lt;=1,"A")</f>
        <v>F</v>
      </c>
      <c r="M72" s="1" t="str" cm="1">
        <f t="array" ref="M72">_xlfn.IFS(
 $G72&lt;=90.8,"low-income",
 $G72&lt;=100.7,"lower-middle income",
 $G72&lt;=157,"higher-middle income",
 $G72&gt;157,"high-income"
)</f>
        <v>lower-middle income</v>
      </c>
      <c r="Q72" s="1">
        <f>F72</f>
        <v>6095</v>
      </c>
      <c r="R72" s="1">
        <f>G72</f>
        <v>98.343125000000001</v>
      </c>
      <c r="S72" s="1" t="str">
        <f>K72</f>
        <v>F</v>
      </c>
    </row>
    <row r="73" spans="1:19" x14ac:dyDescent="0.45">
      <c r="A73" s="1" t="s">
        <v>124</v>
      </c>
      <c r="B73" s="1" t="s">
        <v>123</v>
      </c>
      <c r="C73" s="1" t="s">
        <v>94</v>
      </c>
      <c r="D73" s="1" t="s">
        <v>85</v>
      </c>
      <c r="E73" s="1" t="s">
        <v>84</v>
      </c>
      <c r="F73" s="1">
        <v>6870</v>
      </c>
      <c r="G73" s="1">
        <v>98.343125000000001</v>
      </c>
      <c r="H73" s="1">
        <v>2977</v>
      </c>
      <c r="I73" s="1">
        <v>3033</v>
      </c>
      <c r="J73" s="3">
        <f>H73/F73</f>
        <v>0.43333333333333335</v>
      </c>
      <c r="K73" s="1" t="str" cm="1">
        <f t="array" ref="K73">_xlfn.IFS(J73&lt;0.5,"F",J73&lt;0.6,"E",J73&lt;0.7,"D",J73&lt;0.8,"C",J73&lt;0.9,"B",J73&lt;=1,"A")</f>
        <v>F</v>
      </c>
      <c r="M73" s="1" t="str" cm="1">
        <f t="array" ref="M73">_xlfn.IFS(
 $G73&lt;=90.8,"low-income",
 $G73&lt;=100.7,"lower-middle income",
 $G73&lt;=157,"higher-middle income",
 $G73&gt;157,"high-income"
)</f>
        <v>lower-middle income</v>
      </c>
      <c r="Q73" s="1">
        <f>F73</f>
        <v>6870</v>
      </c>
      <c r="R73" s="1">
        <f>G73</f>
        <v>98.343125000000001</v>
      </c>
      <c r="S73" s="1" t="str">
        <f>K73</f>
        <v>F</v>
      </c>
    </row>
    <row r="74" spans="1:19" x14ac:dyDescent="0.45">
      <c r="A74" s="1" t="s">
        <v>122</v>
      </c>
      <c r="B74" s="1" t="s">
        <v>121</v>
      </c>
      <c r="C74" s="1" t="s">
        <v>94</v>
      </c>
      <c r="D74" s="1" t="s">
        <v>85</v>
      </c>
      <c r="E74" s="1" t="s">
        <v>84</v>
      </c>
      <c r="F74" s="1">
        <v>24858</v>
      </c>
      <c r="G74" s="1">
        <v>89.373666666666665</v>
      </c>
      <c r="H74" s="1">
        <v>21638</v>
      </c>
      <c r="I74" s="1">
        <v>22564</v>
      </c>
      <c r="J74" s="3">
        <f>H74/F74</f>
        <v>0.87046423686539542</v>
      </c>
      <c r="K74" s="1" t="str" cm="1">
        <f t="array" ref="K74">_xlfn.IFS(J74&lt;0.5,"F",J74&lt;0.6,"E",J74&lt;0.7,"D",J74&lt;0.8,"C",J74&lt;0.9,"B",J74&lt;=1,"A")</f>
        <v>B</v>
      </c>
      <c r="M74" s="1" t="str" cm="1">
        <f t="array" ref="M74">_xlfn.IFS(
 $G74&lt;=90.8,"low-income",
 $G74&lt;=100.7,"lower-middle income",
 $G74&lt;=157,"higher-middle income",
 $G74&gt;157,"high-income"
)</f>
        <v>low-income</v>
      </c>
      <c r="Q74" s="1">
        <f>F74</f>
        <v>24858</v>
      </c>
      <c r="R74" s="1">
        <f>G74</f>
        <v>89.373666666666665</v>
      </c>
      <c r="S74" s="1" t="str">
        <f>K74</f>
        <v>B</v>
      </c>
    </row>
    <row r="75" spans="1:19" x14ac:dyDescent="0.45">
      <c r="A75" s="1" t="s">
        <v>120</v>
      </c>
      <c r="B75" s="1" t="s">
        <v>119</v>
      </c>
      <c r="C75" s="1" t="s">
        <v>5</v>
      </c>
      <c r="D75" s="1" t="s">
        <v>85</v>
      </c>
      <c r="E75" s="1" t="s">
        <v>84</v>
      </c>
      <c r="F75" s="1">
        <v>5791</v>
      </c>
      <c r="G75" s="1">
        <v>149.8946</v>
      </c>
      <c r="H75" s="1">
        <v>948</v>
      </c>
      <c r="I75" s="1">
        <v>1014</v>
      </c>
      <c r="J75" s="3">
        <f>H75/F75</f>
        <v>0.16370229666724229</v>
      </c>
      <c r="K75" s="1" t="str" cm="1">
        <f t="array" ref="K75">_xlfn.IFS(J75&lt;0.5,"F",J75&lt;0.6,"E",J75&lt;0.7,"D",J75&lt;0.8,"C",J75&lt;0.9,"B",J75&lt;=1,"A")</f>
        <v>F</v>
      </c>
      <c r="M75" s="1" t="str" cm="1">
        <f t="array" ref="M75">_xlfn.IFS(
 $G75&lt;=90.8,"low-income",
 $G75&lt;=100.7,"lower-middle income",
 $G75&lt;=157,"higher-middle income",
 $G75&gt;157,"high-income"
)</f>
        <v>higher-middle income</v>
      </c>
      <c r="Q75" s="1">
        <f>F75</f>
        <v>5791</v>
      </c>
      <c r="R75" s="1">
        <f>G75</f>
        <v>149.8946</v>
      </c>
      <c r="S75" s="1" t="str">
        <f>K75</f>
        <v>F</v>
      </c>
    </row>
    <row r="76" spans="1:19" x14ac:dyDescent="0.45">
      <c r="A76" s="1" t="s">
        <v>118</v>
      </c>
      <c r="B76" s="1" t="s">
        <v>117</v>
      </c>
      <c r="C76" s="1" t="s">
        <v>5</v>
      </c>
      <c r="D76" s="1" t="s">
        <v>85</v>
      </c>
      <c r="E76" s="1" t="s">
        <v>84</v>
      </c>
      <c r="F76" s="1">
        <v>6271</v>
      </c>
      <c r="G76" s="1">
        <v>74.796999999999997</v>
      </c>
      <c r="H76" s="1">
        <v>1433</v>
      </c>
      <c r="I76" s="1">
        <v>1639</v>
      </c>
      <c r="J76" s="3">
        <f>H76/F76</f>
        <v>0.22851219901132197</v>
      </c>
      <c r="K76" s="1" t="str" cm="1">
        <f t="array" ref="K76">_xlfn.IFS(J76&lt;0.5,"F",J76&lt;0.6,"E",J76&lt;0.7,"D",J76&lt;0.8,"C",J76&lt;0.9,"B",J76&lt;=1,"A")</f>
        <v>F</v>
      </c>
      <c r="M76" s="1" t="str" cm="1">
        <f t="array" ref="M76">_xlfn.IFS(
 $G76&lt;=90.8,"low-income",
 $G76&lt;=100.7,"lower-middle income",
 $G76&lt;=157,"higher-middle income",
 $G76&gt;157,"high-income"
)</f>
        <v>low-income</v>
      </c>
      <c r="Q76" s="1">
        <f>F76</f>
        <v>6271</v>
      </c>
      <c r="R76" s="1">
        <f>G76</f>
        <v>74.796999999999997</v>
      </c>
      <c r="S76" s="1" t="str">
        <f>K76</f>
        <v>F</v>
      </c>
    </row>
    <row r="77" spans="1:19" x14ac:dyDescent="0.45">
      <c r="A77" s="1" t="s">
        <v>116</v>
      </c>
      <c r="B77" s="1" t="s">
        <v>115</v>
      </c>
      <c r="C77" s="1" t="s">
        <v>5</v>
      </c>
      <c r="D77" s="1" t="s">
        <v>85</v>
      </c>
      <c r="E77" s="1" t="s">
        <v>84</v>
      </c>
      <c r="F77" s="1">
        <v>6258</v>
      </c>
      <c r="G77" s="1">
        <v>117.3223333333333</v>
      </c>
      <c r="H77" s="1">
        <v>2234</v>
      </c>
      <c r="I77" s="1">
        <v>2547</v>
      </c>
      <c r="J77" s="3">
        <f>H77/F77</f>
        <v>0.35698306168104826</v>
      </c>
      <c r="K77" s="1" t="str" cm="1">
        <f t="array" ref="K77">_xlfn.IFS(J77&lt;0.5,"F",J77&lt;0.6,"E",J77&lt;0.7,"D",J77&lt;0.8,"C",J77&lt;0.9,"B",J77&lt;=1,"A")</f>
        <v>F</v>
      </c>
      <c r="M77" s="1" t="str" cm="1">
        <f t="array" ref="M77">_xlfn.IFS(
 $G77&lt;=90.8,"low-income",
 $G77&lt;=100.7,"lower-middle income",
 $G77&lt;=157,"higher-middle income",
 $G77&gt;157,"high-income"
)</f>
        <v>higher-middle income</v>
      </c>
      <c r="Q77" s="1">
        <f>F77</f>
        <v>6258</v>
      </c>
      <c r="R77" s="1">
        <f>G77</f>
        <v>117.3223333333333</v>
      </c>
      <c r="S77" s="1" t="str">
        <f>K77</f>
        <v>F</v>
      </c>
    </row>
    <row r="78" spans="1:19" x14ac:dyDescent="0.45">
      <c r="A78" s="1" t="s">
        <v>114</v>
      </c>
      <c r="B78" s="1" t="s">
        <v>113</v>
      </c>
      <c r="C78" s="1" t="s">
        <v>5</v>
      </c>
      <c r="D78" s="1" t="s">
        <v>85</v>
      </c>
      <c r="E78" s="1" t="s">
        <v>84</v>
      </c>
      <c r="F78" s="1">
        <v>5448</v>
      </c>
      <c r="G78" s="1">
        <v>98.343125000000001</v>
      </c>
      <c r="H78" s="1">
        <v>138</v>
      </c>
      <c r="I78" s="1">
        <v>154</v>
      </c>
      <c r="J78" s="3">
        <f>H78/F78</f>
        <v>2.5330396475770924E-2</v>
      </c>
      <c r="K78" s="1" t="str" cm="1">
        <f t="array" ref="K78">_xlfn.IFS(J78&lt;0.5,"F",J78&lt;0.6,"E",J78&lt;0.7,"D",J78&lt;0.8,"C",J78&lt;0.9,"B",J78&lt;=1,"A")</f>
        <v>F</v>
      </c>
      <c r="M78" s="1" t="str" cm="1">
        <f t="array" ref="M78">_xlfn.IFS(
 $G78&lt;=90.8,"low-income",
 $G78&lt;=100.7,"lower-middle income",
 $G78&lt;=157,"higher-middle income",
 $G78&gt;157,"high-income"
)</f>
        <v>lower-middle income</v>
      </c>
      <c r="Q78" s="1">
        <f>F78</f>
        <v>5448</v>
      </c>
      <c r="R78" s="1">
        <f>G78</f>
        <v>98.343125000000001</v>
      </c>
      <c r="S78" s="1" t="str">
        <f>K78</f>
        <v>F</v>
      </c>
    </row>
    <row r="79" spans="1:19" x14ac:dyDescent="0.45">
      <c r="A79" s="1" t="s">
        <v>112</v>
      </c>
      <c r="B79" s="1" t="s">
        <v>111</v>
      </c>
      <c r="C79" s="1" t="s">
        <v>5</v>
      </c>
      <c r="D79" s="1" t="s">
        <v>85</v>
      </c>
      <c r="E79" s="1" t="s">
        <v>84</v>
      </c>
      <c r="F79" s="1">
        <v>13035</v>
      </c>
      <c r="G79" s="1">
        <v>98.343125000000001</v>
      </c>
      <c r="H79" s="1">
        <v>8558</v>
      </c>
      <c r="I79" s="1">
        <v>9235</v>
      </c>
      <c r="J79" s="3">
        <f>H79/F79</f>
        <v>0.65654008438818567</v>
      </c>
      <c r="K79" s="1" t="str" cm="1">
        <f t="array" ref="K79">_xlfn.IFS(J79&lt;0.5,"F",J79&lt;0.6,"E",J79&lt;0.7,"D",J79&lt;0.8,"C",J79&lt;0.9,"B",J79&lt;=1,"A")</f>
        <v>D</v>
      </c>
      <c r="M79" s="1" t="str" cm="1">
        <f t="array" ref="M79">_xlfn.IFS(
 $G79&lt;=90.8,"low-income",
 $G79&lt;=100.7,"lower-middle income",
 $G79&lt;=157,"higher-middle income",
 $G79&gt;157,"high-income"
)</f>
        <v>lower-middle income</v>
      </c>
      <c r="Q79" s="1">
        <f>F79</f>
        <v>13035</v>
      </c>
      <c r="R79" s="1">
        <f>G79</f>
        <v>98.343125000000001</v>
      </c>
      <c r="S79" s="1" t="str">
        <f>K79</f>
        <v>D</v>
      </c>
    </row>
    <row r="80" spans="1:19" x14ac:dyDescent="0.45">
      <c r="A80" s="1" t="s">
        <v>110</v>
      </c>
      <c r="B80" s="1" t="s">
        <v>109</v>
      </c>
      <c r="C80" s="1" t="s">
        <v>5</v>
      </c>
      <c r="D80" s="1" t="s">
        <v>85</v>
      </c>
      <c r="E80" s="1" t="s">
        <v>84</v>
      </c>
      <c r="F80" s="1">
        <v>13348</v>
      </c>
      <c r="G80" s="1">
        <v>98.343125000000001</v>
      </c>
      <c r="H80" s="1">
        <v>3037</v>
      </c>
      <c r="I80" s="1">
        <v>3163</v>
      </c>
      <c r="J80" s="3">
        <f>H80/F80</f>
        <v>0.22752472280491459</v>
      </c>
      <c r="K80" s="1" t="str" cm="1">
        <f t="array" ref="K80">_xlfn.IFS(J80&lt;0.5,"F",J80&lt;0.6,"E",J80&lt;0.7,"D",J80&lt;0.8,"C",J80&lt;0.9,"B",J80&lt;=1,"A")</f>
        <v>F</v>
      </c>
      <c r="M80" s="1" t="str" cm="1">
        <f t="array" ref="M80">_xlfn.IFS(
 $G80&lt;=90.8,"low-income",
 $G80&lt;=100.7,"lower-middle income",
 $G80&lt;=157,"higher-middle income",
 $G80&gt;157,"high-income"
)</f>
        <v>lower-middle income</v>
      </c>
      <c r="Q80" s="1">
        <f>F80</f>
        <v>13348</v>
      </c>
      <c r="R80" s="1">
        <f>G80</f>
        <v>98.343125000000001</v>
      </c>
      <c r="S80" s="1" t="str">
        <f>K80</f>
        <v>F</v>
      </c>
    </row>
    <row r="81" spans="1:19" x14ac:dyDescent="0.45">
      <c r="A81" s="1" t="s">
        <v>108</v>
      </c>
      <c r="B81" s="1" t="s">
        <v>107</v>
      </c>
      <c r="C81" s="1" t="s">
        <v>5</v>
      </c>
      <c r="D81" s="1" t="s">
        <v>85</v>
      </c>
      <c r="E81" s="1" t="s">
        <v>84</v>
      </c>
      <c r="F81" s="1">
        <v>11645</v>
      </c>
      <c r="G81" s="1">
        <v>43.171333333333337</v>
      </c>
      <c r="H81" s="1">
        <v>7249</v>
      </c>
      <c r="I81" s="1">
        <v>8026</v>
      </c>
      <c r="J81" s="3">
        <f>H81/F81</f>
        <v>0.62249892657793049</v>
      </c>
      <c r="K81" s="1" t="str" cm="1">
        <f t="array" ref="K81">_xlfn.IFS(J81&lt;0.5,"F",J81&lt;0.6,"E",J81&lt;0.7,"D",J81&lt;0.8,"C",J81&lt;0.9,"B",J81&lt;=1,"A")</f>
        <v>D</v>
      </c>
      <c r="M81" s="1" t="str" cm="1">
        <f t="array" ref="M81">_xlfn.IFS(
 $G81&lt;=90.8,"low-income",
 $G81&lt;=100.7,"lower-middle income",
 $G81&lt;=157,"higher-middle income",
 $G81&gt;157,"high-income"
)</f>
        <v>low-income</v>
      </c>
      <c r="Q81" s="1">
        <f>F81</f>
        <v>11645</v>
      </c>
      <c r="R81" s="1">
        <f>G81</f>
        <v>43.171333333333337</v>
      </c>
      <c r="S81" s="1" t="str">
        <f>K81</f>
        <v>D</v>
      </c>
    </row>
    <row r="82" spans="1:19" x14ac:dyDescent="0.45">
      <c r="A82" s="1" t="s">
        <v>106</v>
      </c>
      <c r="B82" s="1" t="s">
        <v>105</v>
      </c>
      <c r="C82" s="1" t="s">
        <v>5</v>
      </c>
      <c r="D82" s="1" t="s">
        <v>85</v>
      </c>
      <c r="E82" s="1" t="s">
        <v>84</v>
      </c>
      <c r="F82" s="1">
        <v>6581</v>
      </c>
      <c r="G82" s="1">
        <v>98.343125000000001</v>
      </c>
      <c r="H82" s="1">
        <v>0</v>
      </c>
      <c r="I82" s="1">
        <v>0</v>
      </c>
      <c r="J82" s="3">
        <f>H82/F82</f>
        <v>0</v>
      </c>
      <c r="K82" s="1" t="str" cm="1">
        <f t="array" ref="K82">_xlfn.IFS(J82&lt;0.5,"F",J82&lt;0.6,"E",J82&lt;0.7,"D",J82&lt;0.8,"C",J82&lt;0.9,"B",J82&lt;=1,"A")</f>
        <v>F</v>
      </c>
      <c r="M82" s="1" t="str" cm="1">
        <f t="array" ref="M82">_xlfn.IFS(
 $G82&lt;=90.8,"low-income",
 $G82&lt;=100.7,"lower-middle income",
 $G82&lt;=157,"higher-middle income",
 $G82&gt;157,"high-income"
)</f>
        <v>lower-middle income</v>
      </c>
      <c r="Q82" s="1">
        <f>F82</f>
        <v>6581</v>
      </c>
      <c r="R82" s="1">
        <f>G82</f>
        <v>98.343125000000001</v>
      </c>
      <c r="S82" s="1" t="str">
        <f>K82</f>
        <v>F</v>
      </c>
    </row>
    <row r="83" spans="1:19" x14ac:dyDescent="0.45">
      <c r="A83" s="1" t="s">
        <v>104</v>
      </c>
      <c r="B83" s="1" t="s">
        <v>103</v>
      </c>
      <c r="C83" s="1" t="s">
        <v>5</v>
      </c>
      <c r="D83" s="1" t="s">
        <v>85</v>
      </c>
      <c r="E83" s="1" t="s">
        <v>84</v>
      </c>
      <c r="F83" s="1">
        <v>3656</v>
      </c>
      <c r="G83" s="1">
        <v>98.343125000000001</v>
      </c>
      <c r="H83" s="1">
        <v>1777</v>
      </c>
      <c r="I83" s="1">
        <v>1984</v>
      </c>
      <c r="J83" s="3">
        <f>H83/F83</f>
        <v>0.4860503282275711</v>
      </c>
      <c r="K83" s="1" t="str" cm="1">
        <f t="array" ref="K83">_xlfn.IFS(J83&lt;0.5,"F",J83&lt;0.6,"E",J83&lt;0.7,"D",J83&lt;0.8,"C",J83&lt;0.9,"B",J83&lt;=1,"A")</f>
        <v>F</v>
      </c>
      <c r="M83" s="1" t="str" cm="1">
        <f t="array" ref="M83">_xlfn.IFS(
 $G83&lt;=90.8,"low-income",
 $G83&lt;=100.7,"lower-middle income",
 $G83&lt;=157,"higher-middle income",
 $G83&gt;157,"high-income"
)</f>
        <v>lower-middle income</v>
      </c>
      <c r="Q83" s="1">
        <f>F83</f>
        <v>3656</v>
      </c>
      <c r="R83" s="1">
        <f>G83</f>
        <v>98.343125000000001</v>
      </c>
      <c r="S83" s="1" t="str">
        <f>K83</f>
        <v>F</v>
      </c>
    </row>
    <row r="84" spans="1:19" x14ac:dyDescent="0.45">
      <c r="A84" s="1" t="s">
        <v>102</v>
      </c>
      <c r="B84" s="1" t="s">
        <v>101</v>
      </c>
      <c r="C84" s="1" t="s">
        <v>5</v>
      </c>
      <c r="D84" s="1" t="s">
        <v>85</v>
      </c>
      <c r="E84" s="1" t="s">
        <v>84</v>
      </c>
      <c r="F84" s="1">
        <v>5767</v>
      </c>
      <c r="G84" s="1">
        <v>98.343125000000001</v>
      </c>
      <c r="H84" s="1">
        <v>1958</v>
      </c>
      <c r="I84" s="1">
        <v>2259</v>
      </c>
      <c r="J84" s="3">
        <f>H84/F84</f>
        <v>0.33951794693948328</v>
      </c>
      <c r="K84" s="1" t="str" cm="1">
        <f t="array" ref="K84">_xlfn.IFS(J84&lt;0.5,"F",J84&lt;0.6,"E",J84&lt;0.7,"D",J84&lt;0.8,"C",J84&lt;0.9,"B",J84&lt;=1,"A")</f>
        <v>F</v>
      </c>
      <c r="M84" s="1" t="str" cm="1">
        <f t="array" ref="M84">_xlfn.IFS(
 $G84&lt;=90.8,"low-income",
 $G84&lt;=100.7,"lower-middle income",
 $G84&lt;=157,"higher-middle income",
 $G84&gt;157,"high-income"
)</f>
        <v>lower-middle income</v>
      </c>
      <c r="Q84" s="1">
        <f>F84</f>
        <v>5767</v>
      </c>
      <c r="R84" s="1">
        <f>G84</f>
        <v>98.343125000000001</v>
      </c>
      <c r="S84" s="1" t="str">
        <f>K84</f>
        <v>F</v>
      </c>
    </row>
    <row r="85" spans="1:19" x14ac:dyDescent="0.45">
      <c r="A85" s="1" t="s">
        <v>100</v>
      </c>
      <c r="B85" s="1" t="s">
        <v>99</v>
      </c>
      <c r="C85" s="1" t="s">
        <v>5</v>
      </c>
      <c r="D85" s="1" t="s">
        <v>85</v>
      </c>
      <c r="E85" s="1" t="s">
        <v>84</v>
      </c>
      <c r="F85" s="1">
        <v>7723</v>
      </c>
      <c r="G85" s="1">
        <v>98.343125000000001</v>
      </c>
      <c r="H85" s="1">
        <v>1399</v>
      </c>
      <c r="I85" s="1">
        <v>1486</v>
      </c>
      <c r="J85" s="3">
        <f>H85/F85</f>
        <v>0.18114722258189822</v>
      </c>
      <c r="K85" s="1" t="str" cm="1">
        <f t="array" ref="K85">_xlfn.IFS(J85&lt;0.5,"F",J85&lt;0.6,"E",J85&lt;0.7,"D",J85&lt;0.8,"C",J85&lt;0.9,"B",J85&lt;=1,"A")</f>
        <v>F</v>
      </c>
      <c r="M85" s="1" t="str" cm="1">
        <f t="array" ref="M85">_xlfn.IFS(
 $G85&lt;=90.8,"low-income",
 $G85&lt;=100.7,"lower-middle income",
 $G85&lt;=157,"higher-middle income",
 $G85&gt;157,"high-income"
)</f>
        <v>lower-middle income</v>
      </c>
      <c r="Q85" s="1">
        <f>F85</f>
        <v>7723</v>
      </c>
      <c r="R85" s="1">
        <f>G85</f>
        <v>98.343125000000001</v>
      </c>
      <c r="S85" s="1" t="str">
        <f>K85</f>
        <v>F</v>
      </c>
    </row>
    <row r="86" spans="1:19" x14ac:dyDescent="0.45">
      <c r="A86" s="1" t="s">
        <v>98</v>
      </c>
      <c r="B86" s="1" t="s">
        <v>97</v>
      </c>
      <c r="C86" s="1" t="s">
        <v>5</v>
      </c>
      <c r="D86" s="1" t="s">
        <v>85</v>
      </c>
      <c r="E86" s="1" t="s">
        <v>84</v>
      </c>
      <c r="F86" s="1">
        <v>8137</v>
      </c>
      <c r="G86" s="1">
        <v>98.343125000000001</v>
      </c>
      <c r="H86" s="1">
        <v>2334</v>
      </c>
      <c r="I86" s="1">
        <v>2692</v>
      </c>
      <c r="J86" s="3">
        <f>H86/F86</f>
        <v>0.28683790094629469</v>
      </c>
      <c r="K86" s="1" t="str" cm="1">
        <f t="array" ref="K86">_xlfn.IFS(J86&lt;0.5,"F",J86&lt;0.6,"E",J86&lt;0.7,"D",J86&lt;0.8,"C",J86&lt;0.9,"B",J86&lt;=1,"A")</f>
        <v>F</v>
      </c>
      <c r="M86" s="1" t="str" cm="1">
        <f t="array" ref="M86">_xlfn.IFS(
 $G86&lt;=90.8,"low-income",
 $G86&lt;=100.7,"lower-middle income",
 $G86&lt;=157,"higher-middle income",
 $G86&gt;157,"high-income"
)</f>
        <v>lower-middle income</v>
      </c>
      <c r="Q86" s="1">
        <f>F86</f>
        <v>8137</v>
      </c>
      <c r="R86" s="1">
        <f>G86</f>
        <v>98.343125000000001</v>
      </c>
      <c r="S86" s="1" t="str">
        <f>K86</f>
        <v>F</v>
      </c>
    </row>
    <row r="87" spans="1:19" x14ac:dyDescent="0.45">
      <c r="A87" s="1" t="s">
        <v>96</v>
      </c>
      <c r="B87" s="1" t="s">
        <v>95</v>
      </c>
      <c r="C87" s="1" t="s">
        <v>94</v>
      </c>
      <c r="D87" s="1" t="s">
        <v>85</v>
      </c>
      <c r="E87" s="1" t="s">
        <v>84</v>
      </c>
      <c r="F87" s="1">
        <v>10700</v>
      </c>
      <c r="G87" s="1">
        <v>98.343125000000001</v>
      </c>
      <c r="H87" s="1">
        <v>5852</v>
      </c>
      <c r="I87" s="1">
        <v>6172</v>
      </c>
      <c r="J87" s="3">
        <f>H87/F87</f>
        <v>0.5469158878504673</v>
      </c>
      <c r="K87" s="1" t="str" cm="1">
        <f t="array" ref="K87">_xlfn.IFS(J87&lt;0.5,"F",J87&lt;0.6,"E",J87&lt;0.7,"D",J87&lt;0.8,"C",J87&lt;0.9,"B",J87&lt;=1,"A")</f>
        <v>E</v>
      </c>
      <c r="M87" s="1" t="str" cm="1">
        <f t="array" ref="M87">_xlfn.IFS(
 $G87&lt;=90.8,"low-income",
 $G87&lt;=100.7,"lower-middle income",
 $G87&lt;=157,"higher-middle income",
 $G87&gt;157,"high-income"
)</f>
        <v>lower-middle income</v>
      </c>
      <c r="Q87" s="1">
        <f>F87</f>
        <v>10700</v>
      </c>
      <c r="R87" s="1">
        <f>G87</f>
        <v>98.343125000000001</v>
      </c>
      <c r="S87" s="1" t="str">
        <f>K87</f>
        <v>E</v>
      </c>
    </row>
    <row r="88" spans="1:19" x14ac:dyDescent="0.45">
      <c r="A88" s="1" t="s">
        <v>93</v>
      </c>
      <c r="B88" s="1" t="s">
        <v>92</v>
      </c>
      <c r="C88" s="1" t="s">
        <v>5</v>
      </c>
      <c r="D88" s="1" t="s">
        <v>85</v>
      </c>
      <c r="E88" s="1" t="s">
        <v>84</v>
      </c>
      <c r="F88" s="1">
        <v>6380</v>
      </c>
      <c r="G88" s="1">
        <v>98.343125000000001</v>
      </c>
      <c r="H88" s="1">
        <v>2694</v>
      </c>
      <c r="I88" s="1">
        <v>2712</v>
      </c>
      <c r="J88" s="3">
        <f>H88/F88</f>
        <v>0.42225705329153607</v>
      </c>
      <c r="K88" s="1" t="str" cm="1">
        <f t="array" ref="K88">_xlfn.IFS(J88&lt;0.5,"F",J88&lt;0.6,"E",J88&lt;0.7,"D",J88&lt;0.8,"C",J88&lt;0.9,"B",J88&lt;=1,"A")</f>
        <v>F</v>
      </c>
      <c r="M88" s="1" t="str" cm="1">
        <f t="array" ref="M88">_xlfn.IFS(
 $G88&lt;=90.8,"low-income",
 $G88&lt;=100.7,"lower-middle income",
 $G88&lt;=157,"higher-middle income",
 $G88&gt;157,"high-income"
)</f>
        <v>lower-middle income</v>
      </c>
      <c r="Q88" s="1">
        <f>F88</f>
        <v>6380</v>
      </c>
      <c r="R88" s="1">
        <f>G88</f>
        <v>98.343125000000001</v>
      </c>
      <c r="S88" s="1" t="str">
        <f>K88</f>
        <v>F</v>
      </c>
    </row>
    <row r="89" spans="1:19" x14ac:dyDescent="0.45">
      <c r="A89" s="1" t="s">
        <v>91</v>
      </c>
      <c r="B89" s="1" t="s">
        <v>90</v>
      </c>
      <c r="C89" s="1" t="s">
        <v>5</v>
      </c>
      <c r="D89" s="1" t="s">
        <v>85</v>
      </c>
      <c r="E89" s="1" t="s">
        <v>84</v>
      </c>
      <c r="F89" s="1">
        <v>5905</v>
      </c>
      <c r="G89" s="1">
        <v>98.343125000000001</v>
      </c>
      <c r="H89" s="1">
        <v>883</v>
      </c>
      <c r="I89" s="1">
        <v>1032</v>
      </c>
      <c r="J89" s="3">
        <f>H89/F89</f>
        <v>0.14953429297205759</v>
      </c>
      <c r="K89" s="1" t="str" cm="1">
        <f t="array" ref="K89">_xlfn.IFS(J89&lt;0.5,"F",J89&lt;0.6,"E",J89&lt;0.7,"D",J89&lt;0.8,"C",J89&lt;0.9,"B",J89&lt;=1,"A")</f>
        <v>F</v>
      </c>
      <c r="M89" s="1" t="str" cm="1">
        <f t="array" ref="M89">_xlfn.IFS(
 $G89&lt;=90.8,"low-income",
 $G89&lt;=100.7,"lower-middle income",
 $G89&lt;=157,"higher-middle income",
 $G89&gt;157,"high-income"
)</f>
        <v>lower-middle income</v>
      </c>
      <c r="Q89" s="1">
        <f>F89</f>
        <v>5905</v>
      </c>
      <c r="R89" s="1">
        <f>G89</f>
        <v>98.343125000000001</v>
      </c>
      <c r="S89" s="1" t="str">
        <f>K89</f>
        <v>F</v>
      </c>
    </row>
    <row r="90" spans="1:19" x14ac:dyDescent="0.45">
      <c r="A90" s="1" t="s">
        <v>89</v>
      </c>
      <c r="B90" s="1" t="s">
        <v>88</v>
      </c>
      <c r="C90" s="1" t="s">
        <v>5</v>
      </c>
      <c r="D90" s="1" t="s">
        <v>85</v>
      </c>
      <c r="E90" s="1" t="s">
        <v>84</v>
      </c>
      <c r="F90" s="1">
        <v>14109</v>
      </c>
      <c r="G90" s="1">
        <v>98.343125000000001</v>
      </c>
      <c r="H90" s="1">
        <v>7586</v>
      </c>
      <c r="I90" s="1">
        <v>8222</v>
      </c>
      <c r="J90" s="3">
        <f>H90/F90</f>
        <v>0.53767099014813236</v>
      </c>
      <c r="K90" s="1" t="str" cm="1">
        <f t="array" ref="K90">_xlfn.IFS(J90&lt;0.5,"F",J90&lt;0.6,"E",J90&lt;0.7,"D",J90&lt;0.8,"C",J90&lt;0.9,"B",J90&lt;=1,"A")</f>
        <v>E</v>
      </c>
      <c r="M90" s="1" t="str" cm="1">
        <f t="array" ref="M90">_xlfn.IFS(
 $G90&lt;=90.8,"low-income",
 $G90&lt;=100.7,"lower-middle income",
 $G90&lt;=157,"higher-middle income",
 $G90&gt;157,"high-income"
)</f>
        <v>lower-middle income</v>
      </c>
      <c r="Q90" s="1">
        <f>F90</f>
        <v>14109</v>
      </c>
      <c r="R90" s="1">
        <f>G90</f>
        <v>98.343125000000001</v>
      </c>
      <c r="S90" s="1" t="str">
        <f>K90</f>
        <v>E</v>
      </c>
    </row>
    <row r="91" spans="1:19" x14ac:dyDescent="0.45">
      <c r="A91" s="1" t="s">
        <v>87</v>
      </c>
      <c r="B91" s="1" t="s">
        <v>86</v>
      </c>
      <c r="C91" s="1" t="s">
        <v>5</v>
      </c>
      <c r="D91" s="1" t="s">
        <v>85</v>
      </c>
      <c r="E91" s="1" t="s">
        <v>84</v>
      </c>
      <c r="F91" s="1">
        <v>9456</v>
      </c>
      <c r="G91" s="1">
        <v>98.343125000000001</v>
      </c>
      <c r="H91" s="1">
        <v>976</v>
      </c>
      <c r="I91" s="1">
        <v>1009</v>
      </c>
      <c r="J91" s="3">
        <f>H91/F91</f>
        <v>0.10321489001692047</v>
      </c>
      <c r="K91" s="1" t="str" cm="1">
        <f t="array" ref="K91">_xlfn.IFS(J91&lt;0.5,"F",J91&lt;0.6,"E",J91&lt;0.7,"D",J91&lt;0.8,"C",J91&lt;0.9,"B",J91&lt;=1,"A")</f>
        <v>F</v>
      </c>
      <c r="M91" s="1" t="str" cm="1">
        <f t="array" ref="M91">_xlfn.IFS(
 $G91&lt;=90.8,"low-income",
 $G91&lt;=100.7,"lower-middle income",
 $G91&lt;=157,"higher-middle income",
 $G91&gt;157,"high-income"
)</f>
        <v>lower-middle income</v>
      </c>
      <c r="Q91" s="1">
        <f>F91</f>
        <v>9456</v>
      </c>
      <c r="R91" s="1">
        <f>G91</f>
        <v>98.343125000000001</v>
      </c>
      <c r="S91" s="1" t="str">
        <f>K91</f>
        <v>F</v>
      </c>
    </row>
    <row r="92" spans="1:19" x14ac:dyDescent="0.45">
      <c r="A92" s="1" t="s">
        <v>83</v>
      </c>
      <c r="B92" s="1" t="s">
        <v>82</v>
      </c>
      <c r="C92" s="1" t="s">
        <v>5</v>
      </c>
      <c r="D92" s="1" t="s">
        <v>56</v>
      </c>
      <c r="E92" s="1" t="s">
        <v>55</v>
      </c>
      <c r="F92" s="1">
        <v>1989</v>
      </c>
      <c r="G92" s="1">
        <v>35.611857142857147</v>
      </c>
      <c r="H92" s="1">
        <v>1301</v>
      </c>
      <c r="I92" s="1">
        <v>1379</v>
      </c>
      <c r="J92" s="3">
        <f>H92/F92</f>
        <v>0.65409753645047763</v>
      </c>
      <c r="K92" s="1" t="str" cm="1">
        <f t="array" ref="K92">_xlfn.IFS(J92&lt;0.5,"F",J92&lt;0.6,"E",J92&lt;0.7,"D",J92&lt;0.8,"C",J92&lt;0.9,"B",J92&lt;=1,"A")</f>
        <v>D</v>
      </c>
      <c r="M92" s="1" t="str" cm="1">
        <f t="array" ref="M92">_xlfn.IFS(
 $G92&lt;=90.8,"low-income",
 $G92&lt;=100.7,"lower-middle income",
 $G92&lt;=157,"higher-middle income",
 $G92&gt;157,"high-income"
)</f>
        <v>low-income</v>
      </c>
      <c r="Q92" s="1">
        <f>F92</f>
        <v>1989</v>
      </c>
      <c r="R92" s="1">
        <f>G92</f>
        <v>35.611857142857147</v>
      </c>
      <c r="S92" s="1" t="str">
        <f>K92</f>
        <v>D</v>
      </c>
    </row>
    <row r="93" spans="1:19" x14ac:dyDescent="0.45">
      <c r="A93" s="1" t="s">
        <v>81</v>
      </c>
      <c r="B93" s="1" t="s">
        <v>80</v>
      </c>
      <c r="C93" s="1" t="s">
        <v>5</v>
      </c>
      <c r="D93" s="1" t="s">
        <v>56</v>
      </c>
      <c r="E93" s="1" t="s">
        <v>55</v>
      </c>
      <c r="F93" s="1">
        <v>991</v>
      </c>
      <c r="G93" s="1">
        <v>35.611857142857147</v>
      </c>
      <c r="H93" s="1">
        <v>160</v>
      </c>
      <c r="I93" s="1">
        <v>195</v>
      </c>
      <c r="J93" s="3">
        <f>H93/F93</f>
        <v>0.16145307769929365</v>
      </c>
      <c r="K93" s="1" t="str" cm="1">
        <f t="array" ref="K93">_xlfn.IFS(J93&lt;0.5,"F",J93&lt;0.6,"E",J93&lt;0.7,"D",J93&lt;0.8,"C",J93&lt;0.9,"B",J93&lt;=1,"A")</f>
        <v>F</v>
      </c>
      <c r="M93" s="1" t="str" cm="1">
        <f t="array" ref="M93">_xlfn.IFS(
 $G93&lt;=90.8,"low-income",
 $G93&lt;=100.7,"lower-middle income",
 $G93&lt;=157,"higher-middle income",
 $G93&gt;157,"high-income"
)</f>
        <v>low-income</v>
      </c>
      <c r="Q93" s="1">
        <f>F93</f>
        <v>991</v>
      </c>
      <c r="R93" s="1">
        <f>G93</f>
        <v>35.611857142857147</v>
      </c>
      <c r="S93" s="1" t="str">
        <f>K93</f>
        <v>F</v>
      </c>
    </row>
    <row r="94" spans="1:19" x14ac:dyDescent="0.45">
      <c r="A94" s="1" t="s">
        <v>79</v>
      </c>
      <c r="B94" s="1" t="s">
        <v>78</v>
      </c>
      <c r="C94" s="1" t="s">
        <v>5</v>
      </c>
      <c r="D94" s="1" t="s">
        <v>56</v>
      </c>
      <c r="E94" s="1" t="s">
        <v>55</v>
      </c>
      <c r="F94" s="1">
        <v>5872</v>
      </c>
      <c r="G94" s="1">
        <v>35.611857142857147</v>
      </c>
      <c r="H94" s="1">
        <v>3560</v>
      </c>
      <c r="I94" s="1">
        <v>4020</v>
      </c>
      <c r="J94" s="3">
        <f>H94/F94</f>
        <v>0.60626702997275206</v>
      </c>
      <c r="K94" s="1" t="str" cm="1">
        <f t="array" ref="K94">_xlfn.IFS(J94&lt;0.5,"F",J94&lt;0.6,"E",J94&lt;0.7,"D",J94&lt;0.8,"C",J94&lt;0.9,"B",J94&lt;=1,"A")</f>
        <v>D</v>
      </c>
      <c r="M94" s="1" t="str" cm="1">
        <f t="array" ref="M94">_xlfn.IFS(
 $G94&lt;=90.8,"low-income",
 $G94&lt;=100.7,"lower-middle income",
 $G94&lt;=157,"higher-middle income",
 $G94&gt;157,"high-income"
)</f>
        <v>low-income</v>
      </c>
      <c r="Q94" s="1">
        <f>F94</f>
        <v>5872</v>
      </c>
      <c r="R94" s="1">
        <f>G94</f>
        <v>35.611857142857147</v>
      </c>
      <c r="S94" s="1" t="str">
        <f>K94</f>
        <v>D</v>
      </c>
    </row>
    <row r="95" spans="1:19" x14ac:dyDescent="0.45">
      <c r="A95" s="1" t="s">
        <v>77</v>
      </c>
      <c r="B95" s="1" t="s">
        <v>76</v>
      </c>
      <c r="C95" s="1" t="s">
        <v>5</v>
      </c>
      <c r="D95" s="1" t="s">
        <v>56</v>
      </c>
      <c r="E95" s="1" t="s">
        <v>55</v>
      </c>
      <c r="F95" s="1">
        <v>3436</v>
      </c>
      <c r="G95" s="1">
        <v>35.611857142857147</v>
      </c>
      <c r="H95" s="1">
        <v>1191</v>
      </c>
      <c r="I95" s="1">
        <v>1513</v>
      </c>
      <c r="J95" s="3">
        <f>H95/F95</f>
        <v>0.34662398137369033</v>
      </c>
      <c r="K95" s="1" t="str" cm="1">
        <f t="array" ref="K95">_xlfn.IFS(J95&lt;0.5,"F",J95&lt;0.6,"E",J95&lt;0.7,"D",J95&lt;0.8,"C",J95&lt;0.9,"B",J95&lt;=1,"A")</f>
        <v>F</v>
      </c>
      <c r="M95" s="1" t="str" cm="1">
        <f t="array" ref="M95">_xlfn.IFS(
 $G95&lt;=90.8,"low-income",
 $G95&lt;=100.7,"lower-middle income",
 $G95&lt;=157,"higher-middle income",
 $G95&gt;157,"high-income"
)</f>
        <v>low-income</v>
      </c>
      <c r="Q95" s="1">
        <f>F95</f>
        <v>3436</v>
      </c>
      <c r="R95" s="1">
        <f>G95</f>
        <v>35.611857142857147</v>
      </c>
      <c r="S95" s="1" t="str">
        <f>K95</f>
        <v>F</v>
      </c>
    </row>
    <row r="96" spans="1:19" x14ac:dyDescent="0.45">
      <c r="A96" s="1" t="s">
        <v>75</v>
      </c>
      <c r="B96" s="1" t="s">
        <v>74</v>
      </c>
      <c r="C96" s="1" t="s">
        <v>5</v>
      </c>
      <c r="D96" s="1" t="s">
        <v>56</v>
      </c>
      <c r="E96" s="1" t="s">
        <v>55</v>
      </c>
      <c r="F96" s="1">
        <v>4659</v>
      </c>
      <c r="G96" s="1">
        <v>35.611857142857147</v>
      </c>
      <c r="H96" s="1">
        <v>0</v>
      </c>
      <c r="I96" s="1">
        <v>0</v>
      </c>
      <c r="J96" s="3">
        <f>H96/F96</f>
        <v>0</v>
      </c>
      <c r="K96" s="1" t="str" cm="1">
        <f t="array" ref="K96">_xlfn.IFS(J96&lt;0.5,"F",J96&lt;0.6,"E",J96&lt;0.7,"D",J96&lt;0.8,"C",J96&lt;0.9,"B",J96&lt;=1,"A")</f>
        <v>F</v>
      </c>
      <c r="M96" s="1" t="str" cm="1">
        <f t="array" ref="M96">_xlfn.IFS(
 $G96&lt;=90.8,"low-income",
 $G96&lt;=100.7,"lower-middle income",
 $G96&lt;=157,"higher-middle income",
 $G96&gt;157,"high-income"
)</f>
        <v>low-income</v>
      </c>
      <c r="Q96" s="1">
        <f>F96</f>
        <v>4659</v>
      </c>
      <c r="R96" s="1">
        <f>G96</f>
        <v>35.611857142857147</v>
      </c>
      <c r="S96" s="1" t="str">
        <f>K96</f>
        <v>F</v>
      </c>
    </row>
    <row r="97" spans="1:19" x14ac:dyDescent="0.45">
      <c r="A97" s="1" t="s">
        <v>73</v>
      </c>
      <c r="B97" s="1" t="s">
        <v>72</v>
      </c>
      <c r="C97" s="1" t="s">
        <v>5</v>
      </c>
      <c r="D97" s="1" t="s">
        <v>56</v>
      </c>
      <c r="E97" s="1" t="s">
        <v>55</v>
      </c>
      <c r="F97" s="1">
        <v>2479</v>
      </c>
      <c r="G97" s="1">
        <v>35.611857142857147</v>
      </c>
      <c r="H97" s="1">
        <v>42</v>
      </c>
      <c r="I97" s="1">
        <v>50</v>
      </c>
      <c r="J97" s="3">
        <f>H97/F97</f>
        <v>1.6942315449778138E-2</v>
      </c>
      <c r="K97" s="1" t="str" cm="1">
        <f t="array" ref="K97">_xlfn.IFS(J97&lt;0.5,"F",J97&lt;0.6,"E",J97&lt;0.7,"D",J97&lt;0.8,"C",J97&lt;0.9,"B",J97&lt;=1,"A")</f>
        <v>F</v>
      </c>
      <c r="M97" s="1" t="str" cm="1">
        <f t="array" ref="M97">_xlfn.IFS(
 $G97&lt;=90.8,"low-income",
 $G97&lt;=100.7,"lower-middle income",
 $G97&lt;=157,"higher-middle income",
 $G97&gt;157,"high-income"
)</f>
        <v>low-income</v>
      </c>
      <c r="Q97" s="1">
        <f>F97</f>
        <v>2479</v>
      </c>
      <c r="R97" s="1">
        <f>G97</f>
        <v>35.611857142857147</v>
      </c>
      <c r="S97" s="1" t="str">
        <f>K97</f>
        <v>F</v>
      </c>
    </row>
    <row r="98" spans="1:19" x14ac:dyDescent="0.45">
      <c r="A98" s="1" t="s">
        <v>71</v>
      </c>
      <c r="B98" s="1" t="s">
        <v>70</v>
      </c>
      <c r="C98" s="1" t="s">
        <v>5</v>
      </c>
      <c r="D98" s="1" t="s">
        <v>56</v>
      </c>
      <c r="E98" s="1" t="s">
        <v>55</v>
      </c>
      <c r="F98" s="1">
        <v>3065</v>
      </c>
      <c r="G98" s="1">
        <v>35.611857142857147</v>
      </c>
      <c r="H98" s="1">
        <v>0</v>
      </c>
      <c r="I98" s="1">
        <v>0</v>
      </c>
      <c r="J98" s="3">
        <f>H98/F98</f>
        <v>0</v>
      </c>
      <c r="K98" s="1" t="str" cm="1">
        <f t="array" ref="K98">_xlfn.IFS(J98&lt;0.5,"F",J98&lt;0.6,"E",J98&lt;0.7,"D",J98&lt;0.8,"C",J98&lt;0.9,"B",J98&lt;=1,"A")</f>
        <v>F</v>
      </c>
      <c r="M98" s="1" t="str" cm="1">
        <f t="array" ref="M98">_xlfn.IFS(
 $G98&lt;=90.8,"low-income",
 $G98&lt;=100.7,"lower-middle income",
 $G98&lt;=157,"higher-middle income",
 $G98&gt;157,"high-income"
)</f>
        <v>low-income</v>
      </c>
      <c r="Q98" s="1">
        <f>F98</f>
        <v>3065</v>
      </c>
      <c r="R98" s="1">
        <f>G98</f>
        <v>35.611857142857147</v>
      </c>
      <c r="S98" s="1" t="str">
        <f>K98</f>
        <v>F</v>
      </c>
    </row>
    <row r="99" spans="1:19" x14ac:dyDescent="0.45">
      <c r="A99" s="1" t="s">
        <v>69</v>
      </c>
      <c r="B99" s="1" t="s">
        <v>68</v>
      </c>
      <c r="C99" s="1" t="s">
        <v>5</v>
      </c>
      <c r="D99" s="1" t="s">
        <v>56</v>
      </c>
      <c r="E99" s="1" t="s">
        <v>55</v>
      </c>
      <c r="F99" s="1">
        <v>1548</v>
      </c>
      <c r="G99" s="1">
        <v>32.311999999999998</v>
      </c>
      <c r="H99" s="1">
        <v>126</v>
      </c>
      <c r="I99" s="1">
        <v>138</v>
      </c>
      <c r="J99" s="3">
        <f>H99/F99</f>
        <v>8.1395348837209308E-2</v>
      </c>
      <c r="K99" s="1" t="str" cm="1">
        <f t="array" ref="K99">_xlfn.IFS(J99&lt;0.5,"F",J99&lt;0.6,"E",J99&lt;0.7,"D",J99&lt;0.8,"C",J99&lt;0.9,"B",J99&lt;=1,"A")</f>
        <v>F</v>
      </c>
      <c r="M99" s="1" t="str" cm="1">
        <f t="array" ref="M99">_xlfn.IFS(
 $G99&lt;=90.8,"low-income",
 $G99&lt;=100.7,"lower-middle income",
 $G99&lt;=157,"higher-middle income",
 $G99&gt;157,"high-income"
)</f>
        <v>low-income</v>
      </c>
      <c r="Q99" s="1">
        <f>F99</f>
        <v>1548</v>
      </c>
      <c r="R99" s="1">
        <f>G99</f>
        <v>32.311999999999998</v>
      </c>
      <c r="S99" s="1" t="str">
        <f>K99</f>
        <v>F</v>
      </c>
    </row>
    <row r="100" spans="1:19" x14ac:dyDescent="0.45">
      <c r="A100" s="1" t="s">
        <v>67</v>
      </c>
      <c r="B100" s="1" t="s">
        <v>66</v>
      </c>
      <c r="C100" s="1" t="s">
        <v>5</v>
      </c>
      <c r="D100" s="1" t="s">
        <v>56</v>
      </c>
      <c r="E100" s="1" t="s">
        <v>55</v>
      </c>
      <c r="F100" s="1">
        <v>1859</v>
      </c>
      <c r="G100" s="1">
        <v>35.611857142857147</v>
      </c>
      <c r="H100" s="1">
        <v>31</v>
      </c>
      <c r="I100" s="1">
        <v>33</v>
      </c>
      <c r="J100" s="3">
        <f>H100/F100</f>
        <v>1.6675632060247445E-2</v>
      </c>
      <c r="K100" s="1" t="str" cm="1">
        <f t="array" ref="K100">_xlfn.IFS(J100&lt;0.5,"F",J100&lt;0.6,"E",J100&lt;0.7,"D",J100&lt;0.8,"C",J100&lt;0.9,"B",J100&lt;=1,"A")</f>
        <v>F</v>
      </c>
      <c r="M100" s="1" t="str" cm="1">
        <f t="array" ref="M100">_xlfn.IFS(
 $G100&lt;=90.8,"low-income",
 $G100&lt;=100.7,"lower-middle income",
 $G100&lt;=157,"higher-middle income",
 $G100&gt;157,"high-income"
)</f>
        <v>low-income</v>
      </c>
      <c r="Q100" s="1">
        <f>F100</f>
        <v>1859</v>
      </c>
      <c r="R100" s="1">
        <f>G100</f>
        <v>35.611857142857147</v>
      </c>
      <c r="S100" s="1" t="str">
        <f>K100</f>
        <v>F</v>
      </c>
    </row>
    <row r="101" spans="1:19" x14ac:dyDescent="0.45">
      <c r="A101" s="1" t="s">
        <v>65</v>
      </c>
      <c r="B101" s="1" t="s">
        <v>64</v>
      </c>
      <c r="C101" s="1" t="s">
        <v>5</v>
      </c>
      <c r="D101" s="1" t="s">
        <v>56</v>
      </c>
      <c r="E101" s="1" t="s">
        <v>55</v>
      </c>
      <c r="F101" s="1">
        <v>3060</v>
      </c>
      <c r="G101" s="1">
        <v>35.611857142857147</v>
      </c>
      <c r="H101" s="1">
        <v>0</v>
      </c>
      <c r="I101" s="1">
        <v>0</v>
      </c>
      <c r="J101" s="3">
        <f>H101/F101</f>
        <v>0</v>
      </c>
      <c r="K101" s="1" t="str" cm="1">
        <f t="array" ref="K101">_xlfn.IFS(J101&lt;0.5,"F",J101&lt;0.6,"E",J101&lt;0.7,"D",J101&lt;0.8,"C",J101&lt;0.9,"B",J101&lt;=1,"A")</f>
        <v>F</v>
      </c>
      <c r="M101" s="1" t="str" cm="1">
        <f t="array" ref="M101">_xlfn.IFS(
 $G101&lt;=90.8,"low-income",
 $G101&lt;=100.7,"lower-middle income",
 $G101&lt;=157,"higher-middle income",
 $G101&gt;157,"high-income"
)</f>
        <v>low-income</v>
      </c>
      <c r="Q101" s="1">
        <f>F101</f>
        <v>3060</v>
      </c>
      <c r="R101" s="1">
        <f>G101</f>
        <v>35.611857142857147</v>
      </c>
      <c r="S101" s="1" t="str">
        <f>K101</f>
        <v>F</v>
      </c>
    </row>
    <row r="102" spans="1:19" x14ac:dyDescent="0.45">
      <c r="A102" s="1" t="s">
        <v>63</v>
      </c>
      <c r="B102" s="1" t="s">
        <v>55</v>
      </c>
      <c r="C102" s="1" t="s">
        <v>2</v>
      </c>
      <c r="D102" s="1" t="s">
        <v>56</v>
      </c>
      <c r="E102" s="1" t="s">
        <v>55</v>
      </c>
      <c r="F102" s="1">
        <v>7515</v>
      </c>
      <c r="G102" s="1">
        <v>38.086750000000002</v>
      </c>
      <c r="H102" s="1">
        <v>2511</v>
      </c>
      <c r="I102" s="1">
        <v>2519</v>
      </c>
      <c r="J102" s="3">
        <f>H102/F102</f>
        <v>0.33413173652694611</v>
      </c>
      <c r="K102" s="1" t="str" cm="1">
        <f t="array" ref="K102">_xlfn.IFS(J102&lt;0.5,"F",J102&lt;0.6,"E",J102&lt;0.7,"D",J102&lt;0.8,"C",J102&lt;0.9,"B",J102&lt;=1,"A")</f>
        <v>F</v>
      </c>
      <c r="M102" s="1" t="str" cm="1">
        <f t="array" ref="M102">_xlfn.IFS(
 $G102&lt;=90.8,"low-income",
 $G102&lt;=100.7,"lower-middle income",
 $G102&lt;=157,"higher-middle income",
 $G102&gt;157,"high-income"
)</f>
        <v>low-income</v>
      </c>
      <c r="Q102" s="1">
        <f>F102</f>
        <v>7515</v>
      </c>
      <c r="R102" s="1">
        <f>G102</f>
        <v>38.086750000000002</v>
      </c>
      <c r="S102" s="1" t="str">
        <f>K102</f>
        <v>F</v>
      </c>
    </row>
    <row r="103" spans="1:19" x14ac:dyDescent="0.45">
      <c r="A103" s="1" t="s">
        <v>62</v>
      </c>
      <c r="B103" s="1" t="s">
        <v>61</v>
      </c>
      <c r="C103" s="1" t="s">
        <v>5</v>
      </c>
      <c r="D103" s="1" t="s">
        <v>56</v>
      </c>
      <c r="E103" s="1" t="s">
        <v>55</v>
      </c>
      <c r="F103" s="1">
        <v>1636</v>
      </c>
      <c r="G103" s="1">
        <v>35.611857142857147</v>
      </c>
      <c r="H103" s="1">
        <v>1257</v>
      </c>
      <c r="I103" s="1">
        <v>1332</v>
      </c>
      <c r="J103" s="3">
        <f>H103/F103</f>
        <v>0.76833740831295838</v>
      </c>
      <c r="K103" s="1" t="str" cm="1">
        <f t="array" ref="K103">_xlfn.IFS(J103&lt;0.5,"F",J103&lt;0.6,"E",J103&lt;0.7,"D",J103&lt;0.8,"C",J103&lt;0.9,"B",J103&lt;=1,"A")</f>
        <v>C</v>
      </c>
      <c r="M103" s="1" t="str" cm="1">
        <f t="array" ref="M103">_xlfn.IFS(
 $G103&lt;=90.8,"low-income",
 $G103&lt;=100.7,"lower-middle income",
 $G103&lt;=157,"higher-middle income",
 $G103&gt;157,"high-income"
)</f>
        <v>low-income</v>
      </c>
      <c r="Q103" s="1">
        <f>F103</f>
        <v>1636</v>
      </c>
      <c r="R103" s="1">
        <f>G103</f>
        <v>35.611857142857147</v>
      </c>
      <c r="S103" s="1" t="str">
        <f>K103</f>
        <v>C</v>
      </c>
    </row>
    <row r="104" spans="1:19" x14ac:dyDescent="0.45">
      <c r="A104" s="1" t="s">
        <v>60</v>
      </c>
      <c r="B104" s="1" t="s">
        <v>59</v>
      </c>
      <c r="C104" s="1" t="s">
        <v>5</v>
      </c>
      <c r="D104" s="1" t="s">
        <v>56</v>
      </c>
      <c r="E104" s="1" t="s">
        <v>55</v>
      </c>
      <c r="F104" s="1">
        <v>2198</v>
      </c>
      <c r="G104" s="1">
        <v>35.611857142857147</v>
      </c>
      <c r="H104" s="1">
        <v>140</v>
      </c>
      <c r="I104" s="1">
        <v>150</v>
      </c>
      <c r="J104" s="3">
        <f>H104/F104</f>
        <v>6.3694267515923567E-2</v>
      </c>
      <c r="K104" s="1" t="str" cm="1">
        <f t="array" ref="K104">_xlfn.IFS(J104&lt;0.5,"F",J104&lt;0.6,"E",J104&lt;0.7,"D",J104&lt;0.8,"C",J104&lt;0.9,"B",J104&lt;=1,"A")</f>
        <v>F</v>
      </c>
      <c r="M104" s="1" t="str" cm="1">
        <f t="array" ref="M104">_xlfn.IFS(
 $G104&lt;=90.8,"low-income",
 $G104&lt;=100.7,"lower-middle income",
 $G104&lt;=157,"higher-middle income",
 $G104&gt;157,"high-income"
)</f>
        <v>low-income</v>
      </c>
      <c r="Q104" s="1">
        <f>F104</f>
        <v>2198</v>
      </c>
      <c r="R104" s="1">
        <f>G104</f>
        <v>35.611857142857147</v>
      </c>
      <c r="S104" s="1" t="str">
        <f>K104</f>
        <v>F</v>
      </c>
    </row>
    <row r="105" spans="1:19" x14ac:dyDescent="0.45">
      <c r="A105" s="1" t="s">
        <v>58</v>
      </c>
      <c r="B105" s="1" t="s">
        <v>57</v>
      </c>
      <c r="C105" s="1" t="s">
        <v>5</v>
      </c>
      <c r="D105" s="1" t="s">
        <v>56</v>
      </c>
      <c r="E105" s="1" t="s">
        <v>55</v>
      </c>
      <c r="F105" s="1">
        <v>1684</v>
      </c>
      <c r="G105" s="1">
        <v>35.611857142857147</v>
      </c>
      <c r="H105" s="1">
        <v>689</v>
      </c>
      <c r="I105" s="1">
        <v>861</v>
      </c>
      <c r="J105" s="3">
        <f>H105/F105</f>
        <v>0.40914489311163893</v>
      </c>
      <c r="K105" s="1" t="str" cm="1">
        <f t="array" ref="K105">_xlfn.IFS(J105&lt;0.5,"F",J105&lt;0.6,"E",J105&lt;0.7,"D",J105&lt;0.8,"C",J105&lt;0.9,"B",J105&lt;=1,"A")</f>
        <v>F</v>
      </c>
      <c r="M105" s="1" t="str" cm="1">
        <f t="array" ref="M105">_xlfn.IFS(
 $G105&lt;=90.8,"low-income",
 $G105&lt;=100.7,"lower-middle income",
 $G105&lt;=157,"higher-middle income",
 $G105&gt;157,"high-income"
)</f>
        <v>low-income</v>
      </c>
      <c r="Q105" s="1">
        <f>F105</f>
        <v>1684</v>
      </c>
      <c r="R105" s="1">
        <f>G105</f>
        <v>35.611857142857147</v>
      </c>
      <c r="S105" s="1" t="str">
        <f>K105</f>
        <v>F</v>
      </c>
    </row>
    <row r="106" spans="1:19" x14ac:dyDescent="0.45">
      <c r="A106" s="1" t="s">
        <v>54</v>
      </c>
      <c r="B106" s="1" t="s">
        <v>53</v>
      </c>
      <c r="C106" s="1" t="s">
        <v>5</v>
      </c>
      <c r="D106" s="1" t="s">
        <v>21</v>
      </c>
      <c r="E106" s="1" t="s">
        <v>20</v>
      </c>
      <c r="F106" s="1">
        <v>5943</v>
      </c>
      <c r="G106" s="1">
        <v>193.29411111111111</v>
      </c>
      <c r="H106" s="1">
        <v>705</v>
      </c>
      <c r="I106" s="1">
        <v>705</v>
      </c>
      <c r="J106" s="3">
        <f>H106/F106</f>
        <v>0.11862695608278648</v>
      </c>
      <c r="K106" s="1" t="str" cm="1">
        <f t="array" ref="K106">_xlfn.IFS(J106&lt;0.5,"F",J106&lt;0.6,"E",J106&lt;0.7,"D",J106&lt;0.8,"C",J106&lt;0.9,"B",J106&lt;=1,"A")</f>
        <v>F</v>
      </c>
      <c r="M106" s="1" t="str" cm="1">
        <f t="array" ref="M106">_xlfn.IFS(
 $G106&lt;=90.8,"low-income",
 $G106&lt;=100.7,"lower-middle income",
 $G106&lt;=157,"higher-middle income",
 $G106&gt;157,"high-income"
)</f>
        <v>high-income</v>
      </c>
      <c r="Q106" s="1">
        <f>F106</f>
        <v>5943</v>
      </c>
      <c r="R106" s="1">
        <f>G106</f>
        <v>193.29411111111111</v>
      </c>
      <c r="S106" s="1" t="str">
        <f>K106</f>
        <v>F</v>
      </c>
    </row>
    <row r="107" spans="1:19" x14ac:dyDescent="0.45">
      <c r="A107" s="1" t="s">
        <v>52</v>
      </c>
      <c r="B107" s="1" t="s">
        <v>51</v>
      </c>
      <c r="C107" s="1" t="s">
        <v>5</v>
      </c>
      <c r="D107" s="1" t="s">
        <v>21</v>
      </c>
      <c r="E107" s="1" t="s">
        <v>20</v>
      </c>
      <c r="F107" s="1">
        <v>11886</v>
      </c>
      <c r="G107" s="1">
        <v>232.93235999999999</v>
      </c>
      <c r="H107" s="1">
        <v>6268</v>
      </c>
      <c r="I107" s="1">
        <v>7241</v>
      </c>
      <c r="J107" s="3">
        <f>H107/F107</f>
        <v>0.5273430927141175</v>
      </c>
      <c r="K107" s="1" t="str" cm="1">
        <f t="array" ref="K107">_xlfn.IFS(J107&lt;0.5,"F",J107&lt;0.6,"E",J107&lt;0.7,"D",J107&lt;0.8,"C",J107&lt;0.9,"B",J107&lt;=1,"A")</f>
        <v>E</v>
      </c>
      <c r="M107" s="1" t="str" cm="1">
        <f t="array" ref="M107">_xlfn.IFS(
 $G107&lt;=90.8,"low-income",
 $G107&lt;=100.7,"lower-middle income",
 $G107&lt;=157,"higher-middle income",
 $G107&gt;157,"high-income"
)</f>
        <v>high-income</v>
      </c>
      <c r="Q107" s="1">
        <f>F107</f>
        <v>11886</v>
      </c>
      <c r="R107" s="1">
        <f>G107</f>
        <v>232.93235999999999</v>
      </c>
      <c r="S107" s="1" t="str">
        <f>K107</f>
        <v>E</v>
      </c>
    </row>
    <row r="108" spans="1:19" x14ac:dyDescent="0.45">
      <c r="A108" s="1" t="s">
        <v>50</v>
      </c>
      <c r="B108" s="1" t="s">
        <v>49</v>
      </c>
      <c r="C108" s="1" t="s">
        <v>5</v>
      </c>
      <c r="D108" s="1" t="s">
        <v>21</v>
      </c>
      <c r="E108" s="1" t="s">
        <v>20</v>
      </c>
      <c r="F108" s="1">
        <v>10051</v>
      </c>
      <c r="G108" s="1">
        <v>232.93235999999999</v>
      </c>
      <c r="H108" s="1">
        <v>2096</v>
      </c>
      <c r="I108" s="1">
        <v>2164</v>
      </c>
      <c r="J108" s="3">
        <f>H108/F108</f>
        <v>0.20853646403342951</v>
      </c>
      <c r="K108" s="1" t="str" cm="1">
        <f t="array" ref="K108">_xlfn.IFS(J108&lt;0.5,"F",J108&lt;0.6,"E",J108&lt;0.7,"D",J108&lt;0.8,"C",J108&lt;0.9,"B",J108&lt;=1,"A")</f>
        <v>F</v>
      </c>
      <c r="M108" s="1" t="str" cm="1">
        <f t="array" ref="M108">_xlfn.IFS(
 $G108&lt;=90.8,"low-income",
 $G108&lt;=100.7,"lower-middle income",
 $G108&lt;=157,"higher-middle income",
 $G108&gt;157,"high-income"
)</f>
        <v>high-income</v>
      </c>
      <c r="Q108" s="1">
        <f>F108</f>
        <v>10051</v>
      </c>
      <c r="R108" s="1">
        <f>G108</f>
        <v>232.93235999999999</v>
      </c>
      <c r="S108" s="1" t="str">
        <f>K108</f>
        <v>F</v>
      </c>
    </row>
    <row r="109" spans="1:19" x14ac:dyDescent="0.45">
      <c r="A109" s="1" t="s">
        <v>48</v>
      </c>
      <c r="B109" s="1" t="s">
        <v>47</v>
      </c>
      <c r="C109" s="1" t="s">
        <v>5</v>
      </c>
      <c r="D109" s="1" t="s">
        <v>21</v>
      </c>
      <c r="E109" s="1" t="s">
        <v>20</v>
      </c>
      <c r="F109" s="1">
        <v>5382</v>
      </c>
      <c r="G109" s="1">
        <v>134.56549999999999</v>
      </c>
      <c r="H109" s="1">
        <v>1981</v>
      </c>
      <c r="I109" s="1">
        <v>2104</v>
      </c>
      <c r="J109" s="3">
        <f>H109/F109</f>
        <v>0.36807878112225939</v>
      </c>
      <c r="K109" s="1" t="str" cm="1">
        <f t="array" ref="K109">_xlfn.IFS(J109&lt;0.5,"F",J109&lt;0.6,"E",J109&lt;0.7,"D",J109&lt;0.8,"C",J109&lt;0.9,"B",J109&lt;=1,"A")</f>
        <v>F</v>
      </c>
      <c r="M109" s="1" t="str" cm="1">
        <f t="array" ref="M109">_xlfn.IFS(
 $G109&lt;=90.8,"low-income",
 $G109&lt;=100.7,"lower-middle income",
 $G109&lt;=157,"higher-middle income",
 $G109&gt;157,"high-income"
)</f>
        <v>higher-middle income</v>
      </c>
      <c r="Q109" s="1">
        <f>F109</f>
        <v>5382</v>
      </c>
      <c r="R109" s="1">
        <f>G109</f>
        <v>134.56549999999999</v>
      </c>
      <c r="S109" s="1" t="str">
        <f>K109</f>
        <v>F</v>
      </c>
    </row>
    <row r="110" spans="1:19" x14ac:dyDescent="0.45">
      <c r="A110" s="1" t="s">
        <v>46</v>
      </c>
      <c r="B110" s="1" t="s">
        <v>20</v>
      </c>
      <c r="C110" s="1" t="s">
        <v>2</v>
      </c>
      <c r="D110" s="1" t="s">
        <v>21</v>
      </c>
      <c r="E110" s="1" t="s">
        <v>20</v>
      </c>
      <c r="F110" s="1">
        <v>21491</v>
      </c>
      <c r="G110" s="1">
        <v>232.93235999999999</v>
      </c>
      <c r="H110" s="1">
        <v>20893</v>
      </c>
      <c r="I110" s="1">
        <v>21307</v>
      </c>
      <c r="J110" s="3">
        <f>H110/F110</f>
        <v>0.9721743985854544</v>
      </c>
      <c r="K110" s="1" t="str" cm="1">
        <f t="array" ref="K110">_xlfn.IFS(J110&lt;0.5,"F",J110&lt;0.6,"E",J110&lt;0.7,"D",J110&lt;0.8,"C",J110&lt;0.9,"B",J110&lt;=1,"A")</f>
        <v>A</v>
      </c>
      <c r="M110" s="1" t="str" cm="1">
        <f t="array" ref="M110">_xlfn.IFS(
 $G110&lt;=90.8,"low-income",
 $G110&lt;=100.7,"lower-middle income",
 $G110&lt;=157,"higher-middle income",
 $G110&gt;157,"high-income"
)</f>
        <v>high-income</v>
      </c>
      <c r="Q110" s="1">
        <f>F110</f>
        <v>21491</v>
      </c>
      <c r="R110" s="1">
        <f>G110</f>
        <v>232.93235999999999</v>
      </c>
      <c r="S110" s="1" t="str">
        <f>K110</f>
        <v>A</v>
      </c>
    </row>
    <row r="111" spans="1:19" x14ac:dyDescent="0.45">
      <c r="A111" s="1" t="s">
        <v>45</v>
      </c>
      <c r="B111" s="1" t="s">
        <v>44</v>
      </c>
      <c r="C111" s="1" t="s">
        <v>5</v>
      </c>
      <c r="D111" s="1" t="s">
        <v>21</v>
      </c>
      <c r="E111" s="1" t="s">
        <v>20</v>
      </c>
      <c r="F111" s="1">
        <v>9590</v>
      </c>
      <c r="G111" s="1">
        <v>232.93235999999999</v>
      </c>
      <c r="H111" s="1">
        <v>8401</v>
      </c>
      <c r="I111" s="1">
        <v>8666</v>
      </c>
      <c r="J111" s="3">
        <f>H111/F111</f>
        <v>0.87601668404588118</v>
      </c>
      <c r="K111" s="1" t="str" cm="1">
        <f t="array" ref="K111">_xlfn.IFS(J111&lt;0.5,"F",J111&lt;0.6,"E",J111&lt;0.7,"D",J111&lt;0.8,"C",J111&lt;0.9,"B",J111&lt;=1,"A")</f>
        <v>B</v>
      </c>
      <c r="M111" s="1" t="str" cm="1">
        <f t="array" ref="M111">_xlfn.IFS(
 $G111&lt;=90.8,"low-income",
 $G111&lt;=100.7,"lower-middle income",
 $G111&lt;=157,"higher-middle income",
 $G111&gt;157,"high-income"
)</f>
        <v>high-income</v>
      </c>
      <c r="Q111" s="1">
        <f>F111</f>
        <v>9590</v>
      </c>
      <c r="R111" s="1">
        <f>G111</f>
        <v>232.93235999999999</v>
      </c>
      <c r="S111" s="1" t="str">
        <f>K111</f>
        <v>B</v>
      </c>
    </row>
    <row r="112" spans="1:19" x14ac:dyDescent="0.45">
      <c r="A112" s="1" t="s">
        <v>43</v>
      </c>
      <c r="B112" s="1" t="s">
        <v>42</v>
      </c>
      <c r="C112" s="1" t="s">
        <v>5</v>
      </c>
      <c r="D112" s="1" t="s">
        <v>21</v>
      </c>
      <c r="E112" s="1" t="s">
        <v>20</v>
      </c>
      <c r="F112" s="1">
        <v>5901</v>
      </c>
      <c r="G112" s="1">
        <v>232.93235999999999</v>
      </c>
      <c r="H112" s="1">
        <v>3053</v>
      </c>
      <c r="I112" s="1">
        <v>3188</v>
      </c>
      <c r="J112" s="3">
        <f>H112/F112</f>
        <v>0.51736993729876291</v>
      </c>
      <c r="K112" s="1" t="str" cm="1">
        <f t="array" ref="K112">_xlfn.IFS(J112&lt;0.5,"F",J112&lt;0.6,"E",J112&lt;0.7,"D",J112&lt;0.8,"C",J112&lt;0.9,"B",J112&lt;=1,"A")</f>
        <v>E</v>
      </c>
      <c r="M112" s="1" t="str" cm="1">
        <f t="array" ref="M112">_xlfn.IFS(
 $G112&lt;=90.8,"low-income",
 $G112&lt;=100.7,"lower-middle income",
 $G112&lt;=157,"higher-middle income",
 $G112&gt;157,"high-income"
)</f>
        <v>high-income</v>
      </c>
      <c r="Q112" s="1">
        <f>F112</f>
        <v>5901</v>
      </c>
      <c r="R112" s="1">
        <f>G112</f>
        <v>232.93235999999999</v>
      </c>
      <c r="S112" s="1" t="str">
        <f>K112</f>
        <v>E</v>
      </c>
    </row>
    <row r="113" spans="1:19" x14ac:dyDescent="0.45">
      <c r="A113" s="1" t="s">
        <v>41</v>
      </c>
      <c r="B113" s="1" t="s">
        <v>40</v>
      </c>
      <c r="C113" s="1" t="s">
        <v>5</v>
      </c>
      <c r="D113" s="1" t="s">
        <v>21</v>
      </c>
      <c r="E113" s="1" t="s">
        <v>20</v>
      </c>
      <c r="F113" s="1">
        <v>12718</v>
      </c>
      <c r="G113" s="1">
        <v>232.93235999999999</v>
      </c>
      <c r="H113" s="1">
        <v>6135</v>
      </c>
      <c r="I113" s="1">
        <v>7092</v>
      </c>
      <c r="J113" s="3">
        <f>H113/F113</f>
        <v>0.48238716779367824</v>
      </c>
      <c r="K113" s="1" t="str" cm="1">
        <f t="array" ref="K113">_xlfn.IFS(J113&lt;0.5,"F",J113&lt;0.6,"E",J113&lt;0.7,"D",J113&lt;0.8,"C",J113&lt;0.9,"B",J113&lt;=1,"A")</f>
        <v>F</v>
      </c>
      <c r="M113" s="1" t="str" cm="1">
        <f t="array" ref="M113">_xlfn.IFS(
 $G113&lt;=90.8,"low-income",
 $G113&lt;=100.7,"lower-middle income",
 $G113&lt;=157,"higher-middle income",
 $G113&gt;157,"high-income"
)</f>
        <v>high-income</v>
      </c>
      <c r="Q113" s="1">
        <f>F113</f>
        <v>12718</v>
      </c>
      <c r="R113" s="1">
        <f>G113</f>
        <v>232.93235999999999</v>
      </c>
      <c r="S113" s="1" t="str">
        <f>K113</f>
        <v>F</v>
      </c>
    </row>
    <row r="114" spans="1:19" x14ac:dyDescent="0.45">
      <c r="A114" s="1" t="s">
        <v>39</v>
      </c>
      <c r="B114" s="1" t="s">
        <v>38</v>
      </c>
      <c r="C114" s="1" t="s">
        <v>5</v>
      </c>
      <c r="D114" s="1" t="s">
        <v>21</v>
      </c>
      <c r="E114" s="1" t="s">
        <v>20</v>
      </c>
      <c r="F114" s="1">
        <v>6536</v>
      </c>
      <c r="G114" s="1">
        <v>232.93235999999999</v>
      </c>
      <c r="H114" s="1">
        <v>4507</v>
      </c>
      <c r="I114" s="1">
        <v>4571</v>
      </c>
      <c r="J114" s="3">
        <f>H114/F114</f>
        <v>0.68956548347613222</v>
      </c>
      <c r="K114" s="1" t="str" cm="1">
        <f t="array" ref="K114">_xlfn.IFS(J114&lt;0.5,"F",J114&lt;0.6,"E",J114&lt;0.7,"D",J114&lt;0.8,"C",J114&lt;0.9,"B",J114&lt;=1,"A")</f>
        <v>D</v>
      </c>
      <c r="M114" s="1" t="str" cm="1">
        <f t="array" ref="M114">_xlfn.IFS(
 $G114&lt;=90.8,"low-income",
 $G114&lt;=100.7,"lower-middle income",
 $G114&lt;=157,"higher-middle income",
 $G114&gt;157,"high-income"
)</f>
        <v>high-income</v>
      </c>
      <c r="Q114" s="1">
        <f>F114</f>
        <v>6536</v>
      </c>
      <c r="R114" s="1">
        <f>G114</f>
        <v>232.93235999999999</v>
      </c>
      <c r="S114" s="1" t="str">
        <f>K114</f>
        <v>D</v>
      </c>
    </row>
    <row r="115" spans="1:19" x14ac:dyDescent="0.45">
      <c r="A115" s="1" t="s">
        <v>37</v>
      </c>
      <c r="B115" s="1" t="s">
        <v>36</v>
      </c>
      <c r="C115" s="1" t="s">
        <v>5</v>
      </c>
      <c r="D115" s="1" t="s">
        <v>21</v>
      </c>
      <c r="E115" s="1" t="s">
        <v>20</v>
      </c>
      <c r="F115" s="1">
        <v>14329</v>
      </c>
      <c r="G115" s="1">
        <v>232.93235999999999</v>
      </c>
      <c r="H115" s="1">
        <v>6992</v>
      </c>
      <c r="I115" s="1">
        <v>6999</v>
      </c>
      <c r="J115" s="3">
        <f>H115/F115</f>
        <v>0.48796147672552165</v>
      </c>
      <c r="K115" s="1" t="str" cm="1">
        <f t="array" ref="K115">_xlfn.IFS(J115&lt;0.5,"F",J115&lt;0.6,"E",J115&lt;0.7,"D",J115&lt;0.8,"C",J115&lt;0.9,"B",J115&lt;=1,"A")</f>
        <v>F</v>
      </c>
      <c r="M115" s="1" t="str" cm="1">
        <f t="array" ref="M115">_xlfn.IFS(
 $G115&lt;=90.8,"low-income",
 $G115&lt;=100.7,"lower-middle income",
 $G115&lt;=157,"higher-middle income",
 $G115&gt;157,"high-income"
)</f>
        <v>high-income</v>
      </c>
      <c r="Q115" s="1">
        <f>F115</f>
        <v>14329</v>
      </c>
      <c r="R115" s="1">
        <f>G115</f>
        <v>232.93235999999999</v>
      </c>
      <c r="S115" s="1" t="str">
        <f>K115</f>
        <v>F</v>
      </c>
    </row>
    <row r="116" spans="1:19" x14ac:dyDescent="0.45">
      <c r="A116" s="1" t="s">
        <v>35</v>
      </c>
      <c r="B116" s="1" t="s">
        <v>34</v>
      </c>
      <c r="C116" s="1" t="s">
        <v>5</v>
      </c>
      <c r="D116" s="1" t="s">
        <v>21</v>
      </c>
      <c r="E116" s="1" t="s">
        <v>20</v>
      </c>
      <c r="F116" s="1">
        <v>2746</v>
      </c>
      <c r="G116" s="1">
        <v>232.93235999999999</v>
      </c>
      <c r="H116" s="1">
        <v>0</v>
      </c>
      <c r="I116" s="1">
        <v>0</v>
      </c>
      <c r="J116" s="3">
        <f>H116/F116</f>
        <v>0</v>
      </c>
      <c r="K116" s="1" t="str" cm="1">
        <f t="array" ref="K116">_xlfn.IFS(J116&lt;0.5,"F",J116&lt;0.6,"E",J116&lt;0.7,"D",J116&lt;0.8,"C",J116&lt;0.9,"B",J116&lt;=1,"A")</f>
        <v>F</v>
      </c>
      <c r="M116" s="1" t="str" cm="1">
        <f t="array" ref="M116">_xlfn.IFS(
 $G116&lt;=90.8,"low-income",
 $G116&lt;=100.7,"lower-middle income",
 $G116&lt;=157,"higher-middle income",
 $G116&gt;157,"high-income"
)</f>
        <v>high-income</v>
      </c>
      <c r="Q116" s="1">
        <f>F116</f>
        <v>2746</v>
      </c>
      <c r="R116" s="1">
        <f>G116</f>
        <v>232.93235999999999</v>
      </c>
      <c r="S116" s="1" t="str">
        <f>K116</f>
        <v>F</v>
      </c>
    </row>
    <row r="117" spans="1:19" x14ac:dyDescent="0.45">
      <c r="A117" s="1" t="s">
        <v>33</v>
      </c>
      <c r="B117" s="1" t="s">
        <v>32</v>
      </c>
      <c r="C117" s="1" t="s">
        <v>5</v>
      </c>
      <c r="D117" s="1" t="s">
        <v>21</v>
      </c>
      <c r="E117" s="1" t="s">
        <v>20</v>
      </c>
      <c r="F117" s="1">
        <v>7612</v>
      </c>
      <c r="G117" s="1">
        <v>232.93235999999999</v>
      </c>
      <c r="H117" s="1">
        <v>6862</v>
      </c>
      <c r="I117" s="1">
        <v>6919</v>
      </c>
      <c r="J117" s="3">
        <f>H117/F117</f>
        <v>0.90147136100893321</v>
      </c>
      <c r="K117" s="1" t="str" cm="1">
        <f t="array" ref="K117">_xlfn.IFS(J117&lt;0.5,"F",J117&lt;0.6,"E",J117&lt;0.7,"D",J117&lt;0.8,"C",J117&lt;0.9,"B",J117&lt;=1,"A")</f>
        <v>A</v>
      </c>
      <c r="M117" s="1" t="str" cm="1">
        <f t="array" ref="M117">_xlfn.IFS(
 $G117&lt;=90.8,"low-income",
 $G117&lt;=100.7,"lower-middle income",
 $G117&lt;=157,"higher-middle income",
 $G117&gt;157,"high-income"
)</f>
        <v>high-income</v>
      </c>
      <c r="Q117" s="1">
        <f>F117</f>
        <v>7612</v>
      </c>
      <c r="R117" s="1">
        <f>G117</f>
        <v>232.93235999999999</v>
      </c>
      <c r="S117" s="1" t="str">
        <f>K117</f>
        <v>A</v>
      </c>
    </row>
    <row r="118" spans="1:19" x14ac:dyDescent="0.45">
      <c r="A118" s="1" t="s">
        <v>31</v>
      </c>
      <c r="B118" s="1" t="s">
        <v>30</v>
      </c>
      <c r="C118" s="1" t="s">
        <v>5</v>
      </c>
      <c r="D118" s="1" t="s">
        <v>21</v>
      </c>
      <c r="E118" s="1" t="s">
        <v>20</v>
      </c>
      <c r="F118" s="1">
        <v>4929</v>
      </c>
      <c r="G118" s="1">
        <v>326.48059999999998</v>
      </c>
      <c r="H118" s="1">
        <v>1056</v>
      </c>
      <c r="I118" s="1">
        <v>1248</v>
      </c>
      <c r="J118" s="3">
        <f>H118/F118</f>
        <v>0.21424223980523432</v>
      </c>
      <c r="K118" s="1" t="str" cm="1">
        <f t="array" ref="K118">_xlfn.IFS(J118&lt;0.5,"F",J118&lt;0.6,"E",J118&lt;0.7,"D",J118&lt;0.8,"C",J118&lt;0.9,"B",J118&lt;=1,"A")</f>
        <v>F</v>
      </c>
      <c r="M118" s="1" t="str" cm="1">
        <f t="array" ref="M118">_xlfn.IFS(
 $G118&lt;=90.8,"low-income",
 $G118&lt;=100.7,"lower-middle income",
 $G118&lt;=157,"higher-middle income",
 $G118&gt;157,"high-income"
)</f>
        <v>high-income</v>
      </c>
      <c r="Q118" s="1">
        <f>F118</f>
        <v>4929</v>
      </c>
      <c r="R118" s="1">
        <f>G118</f>
        <v>326.48059999999998</v>
      </c>
      <c r="S118" s="1" t="str">
        <f>K118</f>
        <v>F</v>
      </c>
    </row>
    <row r="119" spans="1:19" x14ac:dyDescent="0.45">
      <c r="A119" s="1" t="s">
        <v>29</v>
      </c>
      <c r="B119" s="1" t="s">
        <v>28</v>
      </c>
      <c r="C119" s="1" t="s">
        <v>5</v>
      </c>
      <c r="D119" s="1" t="s">
        <v>21</v>
      </c>
      <c r="E119" s="1" t="s">
        <v>20</v>
      </c>
      <c r="F119" s="1">
        <v>6513</v>
      </c>
      <c r="G119" s="1">
        <v>232.93235999999999</v>
      </c>
      <c r="H119" s="1">
        <v>5076</v>
      </c>
      <c r="I119" s="1">
        <v>5076</v>
      </c>
      <c r="J119" s="3">
        <f>H119/F119</f>
        <v>0.7793643482266237</v>
      </c>
      <c r="K119" s="1" t="str" cm="1">
        <f t="array" ref="K119">_xlfn.IFS(J119&lt;0.5,"F",J119&lt;0.6,"E",J119&lt;0.7,"D",J119&lt;0.8,"C",J119&lt;0.9,"B",J119&lt;=1,"A")</f>
        <v>C</v>
      </c>
      <c r="M119" s="1" t="str" cm="1">
        <f t="array" ref="M119">_xlfn.IFS(
 $G119&lt;=90.8,"low-income",
 $G119&lt;=100.7,"lower-middle income",
 $G119&lt;=157,"higher-middle income",
 $G119&gt;157,"high-income"
)</f>
        <v>high-income</v>
      </c>
      <c r="Q119" s="1">
        <f>F119</f>
        <v>6513</v>
      </c>
      <c r="R119" s="1">
        <f>G119</f>
        <v>232.93235999999999</v>
      </c>
      <c r="S119" s="1" t="str">
        <f>K119</f>
        <v>C</v>
      </c>
    </row>
    <row r="120" spans="1:19" x14ac:dyDescent="0.45">
      <c r="A120" s="1" t="s">
        <v>27</v>
      </c>
      <c r="B120" s="1" t="s">
        <v>26</v>
      </c>
      <c r="C120" s="1" t="s">
        <v>5</v>
      </c>
      <c r="D120" s="1" t="s">
        <v>21</v>
      </c>
      <c r="E120" s="1" t="s">
        <v>20</v>
      </c>
      <c r="F120" s="1">
        <v>9983</v>
      </c>
      <c r="G120" s="1">
        <v>140.297</v>
      </c>
      <c r="H120" s="1">
        <v>7014</v>
      </c>
      <c r="I120" s="1">
        <v>8111</v>
      </c>
      <c r="J120" s="3">
        <f>H120/F120</f>
        <v>0.70259441049784632</v>
      </c>
      <c r="K120" s="1" t="str" cm="1">
        <f t="array" ref="K120">_xlfn.IFS(J120&lt;0.5,"F",J120&lt;0.6,"E",J120&lt;0.7,"D",J120&lt;0.8,"C",J120&lt;0.9,"B",J120&lt;=1,"A")</f>
        <v>C</v>
      </c>
      <c r="M120" s="1" t="str" cm="1">
        <f t="array" ref="M120">_xlfn.IFS(
 $G120&lt;=90.8,"low-income",
 $G120&lt;=100.7,"lower-middle income",
 $G120&lt;=157,"higher-middle income",
 $G120&gt;157,"high-income"
)</f>
        <v>higher-middle income</v>
      </c>
      <c r="Q120" s="1">
        <f>F120</f>
        <v>9983</v>
      </c>
      <c r="R120" s="1">
        <f>G120</f>
        <v>140.297</v>
      </c>
      <c r="S120" s="1" t="str">
        <f>K120</f>
        <v>C</v>
      </c>
    </row>
    <row r="121" spans="1:19" x14ac:dyDescent="0.45">
      <c r="A121" s="1" t="s">
        <v>25</v>
      </c>
      <c r="B121" s="1" t="s">
        <v>24</v>
      </c>
      <c r="C121" s="1" t="s">
        <v>5</v>
      </c>
      <c r="D121" s="1" t="s">
        <v>21</v>
      </c>
      <c r="E121" s="1" t="s">
        <v>20</v>
      </c>
      <c r="F121" s="1">
        <v>4114</v>
      </c>
      <c r="G121" s="1">
        <v>232.93235999999999</v>
      </c>
      <c r="H121" s="1">
        <v>0</v>
      </c>
      <c r="I121" s="1">
        <v>0</v>
      </c>
      <c r="J121" s="3">
        <f>H121/F121</f>
        <v>0</v>
      </c>
      <c r="K121" s="1" t="str" cm="1">
        <f t="array" ref="K121">_xlfn.IFS(J121&lt;0.5,"F",J121&lt;0.6,"E",J121&lt;0.7,"D",J121&lt;0.8,"C",J121&lt;0.9,"B",J121&lt;=1,"A")</f>
        <v>F</v>
      </c>
      <c r="M121" s="1" t="str" cm="1">
        <f t="array" ref="M121">_xlfn.IFS(
 $G121&lt;=90.8,"low-income",
 $G121&lt;=100.7,"lower-middle income",
 $G121&lt;=157,"higher-middle income",
 $G121&gt;157,"high-income"
)</f>
        <v>high-income</v>
      </c>
      <c r="Q121" s="1">
        <f>F121</f>
        <v>4114</v>
      </c>
      <c r="R121" s="1">
        <f>G121</f>
        <v>232.93235999999999</v>
      </c>
      <c r="S121" s="1" t="str">
        <f>K121</f>
        <v>F</v>
      </c>
    </row>
    <row r="122" spans="1:19" x14ac:dyDescent="0.45">
      <c r="A122" s="1" t="s">
        <v>23</v>
      </c>
      <c r="B122" s="1" t="s">
        <v>22</v>
      </c>
      <c r="C122" s="1" t="s">
        <v>5</v>
      </c>
      <c r="D122" s="1" t="s">
        <v>21</v>
      </c>
      <c r="E122" s="1" t="s">
        <v>20</v>
      </c>
      <c r="F122" s="1">
        <v>8639</v>
      </c>
      <c r="G122" s="1">
        <v>232.93235999999999</v>
      </c>
      <c r="H122" s="1">
        <v>1754</v>
      </c>
      <c r="I122" s="1">
        <v>1816</v>
      </c>
      <c r="J122" s="3">
        <f>H122/F122</f>
        <v>0.20303275842111357</v>
      </c>
      <c r="K122" s="1" t="str" cm="1">
        <f t="array" ref="K122">_xlfn.IFS(J122&lt;0.5,"F",J122&lt;0.6,"E",J122&lt;0.7,"D",J122&lt;0.8,"C",J122&lt;0.9,"B",J122&lt;=1,"A")</f>
        <v>F</v>
      </c>
      <c r="M122" s="1" t="str" cm="1">
        <f t="array" ref="M122">_xlfn.IFS(
 $G122&lt;=90.8,"low-income",
 $G122&lt;=100.7,"lower-middle income",
 $G122&lt;=157,"higher-middle income",
 $G122&gt;157,"high-income"
)</f>
        <v>high-income</v>
      </c>
      <c r="Q122" s="1">
        <f>F122</f>
        <v>8639</v>
      </c>
      <c r="R122" s="1">
        <f>G122</f>
        <v>232.93235999999999</v>
      </c>
      <c r="S122" s="1" t="str">
        <f>K122</f>
        <v>F</v>
      </c>
    </row>
    <row r="123" spans="1:19" x14ac:dyDescent="0.45">
      <c r="A123" s="1" t="s">
        <v>19</v>
      </c>
      <c r="B123" s="1" t="s">
        <v>18</v>
      </c>
      <c r="C123" s="1" t="s">
        <v>5</v>
      </c>
      <c r="D123" s="1" t="s">
        <v>1</v>
      </c>
      <c r="E123" s="1" t="s">
        <v>0</v>
      </c>
      <c r="F123" s="1">
        <v>4325</v>
      </c>
      <c r="G123" s="1">
        <v>156.97632407407411</v>
      </c>
      <c r="H123" s="1">
        <v>2037</v>
      </c>
      <c r="I123" s="1">
        <v>2278</v>
      </c>
      <c r="J123" s="3">
        <f>H123/F123</f>
        <v>0.47098265895953756</v>
      </c>
      <c r="K123" s="1" t="str" cm="1">
        <f t="array" ref="K123">_xlfn.IFS(J123&lt;0.5,"F",J123&lt;0.6,"E",J123&lt;0.7,"D",J123&lt;0.8,"C",J123&lt;0.9,"B",J123&lt;=1,"A")</f>
        <v>F</v>
      </c>
      <c r="M123" s="1" t="str" cm="1">
        <f t="array" ref="M123">_xlfn.IFS(
 $G123&lt;=90.8,"low-income",
 $G123&lt;=100.7,"lower-middle income",
 $G123&lt;=157,"higher-middle income",
 $G123&gt;157,"high-income"
)</f>
        <v>higher-middle income</v>
      </c>
      <c r="Q123" s="1">
        <f>F123</f>
        <v>4325</v>
      </c>
      <c r="R123" s="1">
        <f>G123</f>
        <v>156.97632407407411</v>
      </c>
      <c r="S123" s="1" t="str">
        <f>K123</f>
        <v>F</v>
      </c>
    </row>
    <row r="124" spans="1:19" x14ac:dyDescent="0.45">
      <c r="A124" s="1" t="s">
        <v>17</v>
      </c>
      <c r="B124" s="1" t="s">
        <v>16</v>
      </c>
      <c r="C124" s="1" t="s">
        <v>5</v>
      </c>
      <c r="D124" s="1" t="s">
        <v>1</v>
      </c>
      <c r="E124" s="1" t="s">
        <v>0</v>
      </c>
      <c r="F124" s="1">
        <v>1342</v>
      </c>
      <c r="G124" s="1">
        <v>156.97632407407411</v>
      </c>
      <c r="H124" s="1">
        <v>0</v>
      </c>
      <c r="I124" s="1">
        <v>0</v>
      </c>
      <c r="J124" s="3">
        <f>H124/F124</f>
        <v>0</v>
      </c>
      <c r="K124" s="1" t="str" cm="1">
        <f t="array" ref="K124">_xlfn.IFS(J124&lt;0.5,"F",J124&lt;0.6,"E",J124&lt;0.7,"D",J124&lt;0.8,"C",J124&lt;0.9,"B",J124&lt;=1,"A")</f>
        <v>F</v>
      </c>
      <c r="M124" s="1" t="str" cm="1">
        <f t="array" ref="M124">_xlfn.IFS(
 $G124&lt;=90.8,"low-income",
 $G124&lt;=100.7,"lower-middle income",
 $G124&lt;=157,"higher-middle income",
 $G124&gt;157,"high-income"
)</f>
        <v>higher-middle income</v>
      </c>
      <c r="Q124" s="1">
        <f>F124</f>
        <v>1342</v>
      </c>
      <c r="R124" s="1">
        <f>G124</f>
        <v>156.97632407407411</v>
      </c>
      <c r="S124" s="1" t="str">
        <f>K124</f>
        <v>F</v>
      </c>
    </row>
    <row r="125" spans="1:19" x14ac:dyDescent="0.45">
      <c r="A125" s="1" t="s">
        <v>15</v>
      </c>
      <c r="B125" s="1" t="s">
        <v>14</v>
      </c>
      <c r="C125" s="1" t="s">
        <v>5</v>
      </c>
      <c r="D125" s="1" t="s">
        <v>1</v>
      </c>
      <c r="E125" s="1" t="s">
        <v>0</v>
      </c>
      <c r="F125" s="1">
        <v>3380</v>
      </c>
      <c r="G125" s="1">
        <v>156.97632407407411</v>
      </c>
      <c r="H125" s="1">
        <v>0</v>
      </c>
      <c r="I125" s="1">
        <v>0</v>
      </c>
      <c r="J125" s="3">
        <f>H125/F125</f>
        <v>0</v>
      </c>
      <c r="K125" s="1" t="str" cm="1">
        <f t="array" ref="K125">_xlfn.IFS(J125&lt;0.5,"F",J125&lt;0.6,"E",J125&lt;0.7,"D",J125&lt;0.8,"C",J125&lt;0.9,"B",J125&lt;=1,"A")</f>
        <v>F</v>
      </c>
      <c r="M125" s="1" t="str" cm="1">
        <f t="array" ref="M125">_xlfn.IFS(
 $G125&lt;=90.8,"low-income",
 $G125&lt;=100.7,"lower-middle income",
 $G125&lt;=157,"higher-middle income",
 $G125&gt;157,"high-income"
)</f>
        <v>higher-middle income</v>
      </c>
      <c r="Q125" s="1">
        <f>F125</f>
        <v>3380</v>
      </c>
      <c r="R125" s="1">
        <f>G125</f>
        <v>156.97632407407411</v>
      </c>
      <c r="S125" s="1" t="str">
        <f>K125</f>
        <v>F</v>
      </c>
    </row>
    <row r="126" spans="1:19" x14ac:dyDescent="0.45">
      <c r="A126" s="1" t="s">
        <v>13</v>
      </c>
      <c r="B126" s="1" t="s">
        <v>12</v>
      </c>
      <c r="C126" s="1" t="s">
        <v>5</v>
      </c>
      <c r="D126" s="1" t="s">
        <v>1</v>
      </c>
      <c r="E126" s="1" t="s">
        <v>0</v>
      </c>
      <c r="F126" s="1">
        <v>2156</v>
      </c>
      <c r="G126" s="1">
        <v>156.97632407407411</v>
      </c>
      <c r="H126" s="1">
        <v>0</v>
      </c>
      <c r="I126" s="1">
        <v>0</v>
      </c>
      <c r="J126" s="3">
        <f>H126/F126</f>
        <v>0</v>
      </c>
      <c r="K126" s="1" t="str" cm="1">
        <f t="array" ref="K126">_xlfn.IFS(J126&lt;0.5,"F",J126&lt;0.6,"E",J126&lt;0.7,"D",J126&lt;0.8,"C",J126&lt;0.9,"B",J126&lt;=1,"A")</f>
        <v>F</v>
      </c>
      <c r="M126" s="1" t="str" cm="1">
        <f t="array" ref="M126">_xlfn.IFS(
 $G126&lt;=90.8,"low-income",
 $G126&lt;=100.7,"lower-middle income",
 $G126&lt;=157,"higher-middle income",
 $G126&gt;157,"high-income"
)</f>
        <v>higher-middle income</v>
      </c>
      <c r="Q126" s="1">
        <f>F126</f>
        <v>2156</v>
      </c>
      <c r="R126" s="1">
        <f>G126</f>
        <v>156.97632407407411</v>
      </c>
      <c r="S126" s="1" t="str">
        <f>K126</f>
        <v>F</v>
      </c>
    </row>
    <row r="127" spans="1:19" x14ac:dyDescent="0.45">
      <c r="A127" s="1" t="s">
        <v>11</v>
      </c>
      <c r="B127" s="1" t="s">
        <v>10</v>
      </c>
      <c r="C127" s="1" t="s">
        <v>5</v>
      </c>
      <c r="D127" s="1" t="s">
        <v>1</v>
      </c>
      <c r="E127" s="1" t="s">
        <v>0</v>
      </c>
      <c r="F127" s="1">
        <v>3289</v>
      </c>
      <c r="G127" s="1">
        <v>156.97632407407411</v>
      </c>
      <c r="H127" s="1">
        <v>0</v>
      </c>
      <c r="I127" s="1">
        <v>0</v>
      </c>
      <c r="J127" s="3">
        <f>H127/F127</f>
        <v>0</v>
      </c>
      <c r="K127" s="1" t="str" cm="1">
        <f t="array" ref="K127">_xlfn.IFS(J127&lt;0.5,"F",J127&lt;0.6,"E",J127&lt;0.7,"D",J127&lt;0.8,"C",J127&lt;0.9,"B",J127&lt;=1,"A")</f>
        <v>F</v>
      </c>
      <c r="M127" s="1" t="str" cm="1">
        <f t="array" ref="M127">_xlfn.IFS(
 $G127&lt;=90.8,"low-income",
 $G127&lt;=100.7,"lower-middle income",
 $G127&lt;=157,"higher-middle income",
 $G127&gt;157,"high-income"
)</f>
        <v>higher-middle income</v>
      </c>
      <c r="Q127" s="1">
        <f>F127</f>
        <v>3289</v>
      </c>
      <c r="R127" s="1">
        <f>G127</f>
        <v>156.97632407407411</v>
      </c>
      <c r="S127" s="1" t="str">
        <f>K127</f>
        <v>F</v>
      </c>
    </row>
    <row r="128" spans="1:19" x14ac:dyDescent="0.45">
      <c r="A128" s="1" t="s">
        <v>9</v>
      </c>
      <c r="B128" s="1" t="s">
        <v>8</v>
      </c>
      <c r="C128" s="1" t="s">
        <v>5</v>
      </c>
      <c r="D128" s="1" t="s">
        <v>1</v>
      </c>
      <c r="E128" s="1" t="s">
        <v>0</v>
      </c>
      <c r="F128" s="1">
        <v>2873</v>
      </c>
      <c r="G128" s="1">
        <v>156.97632407407411</v>
      </c>
      <c r="H128" s="1">
        <v>60</v>
      </c>
      <c r="I128" s="1">
        <v>67</v>
      </c>
      <c r="J128" s="3">
        <f>H128/F128</f>
        <v>2.0884093282283328E-2</v>
      </c>
      <c r="K128" s="1" t="str" cm="1">
        <f t="array" ref="K128">_xlfn.IFS(J128&lt;0.5,"F",J128&lt;0.6,"E",J128&lt;0.7,"D",J128&lt;0.8,"C",J128&lt;0.9,"B",J128&lt;=1,"A")</f>
        <v>F</v>
      </c>
      <c r="M128" s="1" t="str" cm="1">
        <f t="array" ref="M128">_xlfn.IFS(
 $G128&lt;=90.8,"low-income",
 $G128&lt;=100.7,"lower-middle income",
 $G128&lt;=157,"higher-middle income",
 $G128&gt;157,"high-income"
)</f>
        <v>higher-middle income</v>
      </c>
      <c r="Q128" s="1">
        <f>F128</f>
        <v>2873</v>
      </c>
      <c r="R128" s="1">
        <f>G128</f>
        <v>156.97632407407411</v>
      </c>
      <c r="S128" s="1" t="str">
        <f>K128</f>
        <v>F</v>
      </c>
    </row>
    <row r="129" spans="1:19" x14ac:dyDescent="0.45">
      <c r="A129" s="1" t="s">
        <v>7</v>
      </c>
      <c r="B129" s="1" t="s">
        <v>6</v>
      </c>
      <c r="C129" s="1" t="s">
        <v>5</v>
      </c>
      <c r="D129" s="1" t="s">
        <v>1</v>
      </c>
      <c r="E129" s="1" t="s">
        <v>0</v>
      </c>
      <c r="F129" s="1">
        <v>2263</v>
      </c>
      <c r="G129" s="1">
        <v>156.97632407407411</v>
      </c>
      <c r="H129" s="1">
        <v>0</v>
      </c>
      <c r="I129" s="1">
        <v>0</v>
      </c>
      <c r="J129" s="3">
        <f>H129/F129</f>
        <v>0</v>
      </c>
      <c r="K129" s="1" t="str" cm="1">
        <f t="array" ref="K129">_xlfn.IFS(J129&lt;0.5,"F",J129&lt;0.6,"E",J129&lt;0.7,"D",J129&lt;0.8,"C",J129&lt;0.9,"B",J129&lt;=1,"A")</f>
        <v>F</v>
      </c>
      <c r="M129" s="1" t="str" cm="1">
        <f t="array" ref="M129">_xlfn.IFS(
 $G129&lt;=90.8,"low-income",
 $G129&lt;=100.7,"lower-middle income",
 $G129&lt;=157,"higher-middle income",
 $G129&gt;157,"high-income"
)</f>
        <v>higher-middle income</v>
      </c>
      <c r="Q129" s="1">
        <f>F129</f>
        <v>2263</v>
      </c>
      <c r="R129" s="1">
        <f>G129</f>
        <v>156.97632407407411</v>
      </c>
      <c r="S129" s="1" t="str">
        <f>K129</f>
        <v>F</v>
      </c>
    </row>
    <row r="130" spans="1:19" x14ac:dyDescent="0.45">
      <c r="A130" s="1" t="s">
        <v>4</v>
      </c>
      <c r="B130" s="1" t="s">
        <v>3</v>
      </c>
      <c r="C130" s="1" t="s">
        <v>2</v>
      </c>
      <c r="D130" s="1" t="s">
        <v>1</v>
      </c>
      <c r="E130" s="1" t="s">
        <v>0</v>
      </c>
      <c r="F130" s="1">
        <v>7204</v>
      </c>
      <c r="G130" s="1">
        <v>156.97632407407411</v>
      </c>
      <c r="H130" s="1">
        <v>1978</v>
      </c>
      <c r="I130" s="1">
        <v>2119</v>
      </c>
      <c r="J130" s="3">
        <f>H130/F130</f>
        <v>0.27456968350916156</v>
      </c>
      <c r="K130" s="1" t="str" cm="1">
        <f t="array" ref="K130">_xlfn.IFS(J130&lt;0.5,"F",J130&lt;0.6,"E",J130&lt;0.7,"D",J130&lt;0.8,"C",J130&lt;0.9,"B",J130&lt;=1,"A")</f>
        <v>F</v>
      </c>
      <c r="M130" s="1" t="str" cm="1">
        <f t="array" ref="M130">_xlfn.IFS(
 $G130&lt;=90.8,"low-income",
 $G130&lt;=100.7,"lower-middle income",
 $G130&lt;=157,"higher-middle income",
 $G130&gt;157,"high-income"
)</f>
        <v>higher-middle income</v>
      </c>
      <c r="Q130" s="1">
        <f>F130</f>
        <v>7204</v>
      </c>
      <c r="R130" s="1">
        <f>G130</f>
        <v>156.97632407407411</v>
      </c>
      <c r="S130" s="1" t="str">
        <f>K130</f>
        <v>F</v>
      </c>
    </row>
  </sheetData>
  <autoFilter ref="A1:X130" xr:uid="{BFCEC643-DA8F-47F1-93FC-64470E3BA90B}"/>
  <conditionalFormatting sqref="K2:K130">
    <cfRule type="expression" dxfId="11" priority="8">
      <formula>$K2="F"</formula>
    </cfRule>
    <cfRule type="expression" dxfId="10" priority="9">
      <formula>$K2="E"</formula>
    </cfRule>
    <cfRule type="expression" dxfId="9" priority="10">
      <formula>$K2="D"</formula>
    </cfRule>
    <cfRule type="expression" dxfId="8" priority="11">
      <formula>$K2="C"</formula>
    </cfRule>
    <cfRule type="expression" dxfId="7" priority="12">
      <formula>$K2="B"</formula>
    </cfRule>
    <cfRule type="expression" dxfId="6" priority="13">
      <formula>$K2="A"</formula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30">
    <cfRule type="expression" dxfId="5" priority="1">
      <formula>$K2="F"</formula>
    </cfRule>
    <cfRule type="expression" dxfId="4" priority="2">
      <formula>$K2="E"</formula>
    </cfRule>
    <cfRule type="expression" dxfId="3" priority="3">
      <formula>$K2="D"</formula>
    </cfRule>
    <cfRule type="expression" dxfId="2" priority="4">
      <formula>$K2="C"</formula>
    </cfRule>
    <cfRule type="expression" dxfId="1" priority="5">
      <formula>$K2="B"</formula>
    </cfRule>
    <cfRule type="expression" dxfId="0" priority="6">
      <formula>$K2="A"</formula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5829-9797-4674-90AD-A2DC2697A0E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bus(after)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ＡＮ ＮＧＯＣ ＭＩＮＨ(anngoc)</dc:creator>
  <cp:lastModifiedBy>ＡＮ ＮＧＯＣ ＭＩＮＨ(anngoc)</cp:lastModifiedBy>
  <dcterms:created xsi:type="dcterms:W3CDTF">2026-02-10T07:08:12Z</dcterms:created>
  <dcterms:modified xsi:type="dcterms:W3CDTF">2026-02-10T07:09:27Z</dcterms:modified>
</cp:coreProperties>
</file>